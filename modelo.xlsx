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Unidades compartidas\Planificacion\informe kosher\Kosher USA\2026\09 Septiembre\"/>
    </mc:Choice>
  </mc:AlternateContent>
  <xr:revisionPtr revIDLastSave="0" documentId="13_ncr:1_{6396140A-FDA3-4795-B77F-B8BE19266E06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גיליון1" sheetId="1" state="hidden" r:id="rId1"/>
    <sheet name="גיליון1 " sheetId="7" r:id="rId2"/>
    <sheet name="גיליון2" sheetId="2" r:id="rId3"/>
    <sheet name="גיליון3" sheetId="3" r:id="rId4"/>
    <sheet name="Azul" sheetId="4" state="hidden" r:id="rId5"/>
  </sheets>
  <definedNames>
    <definedName name="_xlnm._FilterDatabase" localSheetId="0" hidden="1">גיליון1!$A$2:$I$30</definedName>
    <definedName name="_xlnm._FilterDatabase" localSheetId="1" hidden="1">'גיליון1 '!$A$2:$I$57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7" l="1"/>
  <c r="H40" i="7"/>
  <c r="G40" i="7"/>
  <c r="G44" i="7" s="1"/>
  <c r="I37" i="7"/>
  <c r="H37" i="7"/>
  <c r="G37" i="7"/>
  <c r="I41" i="7" l="1"/>
  <c r="G41" i="7"/>
  <c r="H41" i="7" l="1"/>
  <c r="I38" i="1"/>
  <c r="H38" i="1"/>
  <c r="G38" i="1"/>
  <c r="G39" i="1" s="1"/>
  <c r="I36" i="1"/>
  <c r="H36" i="1"/>
  <c r="G36" i="1"/>
  <c r="I39" i="1" l="1"/>
  <c r="H39" i="1"/>
  <c r="G42" i="1"/>
  <c r="D60" i="1"/>
  <c r="C60" i="1"/>
  <c r="D52" i="1"/>
  <c r="L43" i="4" l="1"/>
  <c r="K43" i="4"/>
  <c r="J43" i="4"/>
  <c r="Y33" i="4"/>
  <c r="X33" i="4"/>
  <c r="W33" i="4"/>
</calcChain>
</file>

<file path=xl/sharedStrings.xml><?xml version="1.0" encoding="utf-8"?>
<sst xmlns="http://schemas.openxmlformats.org/spreadsheetml/2006/main" count="564" uniqueCount="235">
  <si>
    <t>PRODUCER</t>
  </si>
  <si>
    <t xml:space="preserve">SLAUGHTER DATE </t>
  </si>
  <si>
    <t>CARTONS</t>
  </si>
  <si>
    <t xml:space="preserve">GROSS WEIGHT </t>
  </si>
  <si>
    <t>NET WEIGHT</t>
  </si>
  <si>
    <t>PRODUCTION DATE</t>
  </si>
  <si>
    <t>PRODUCT NAME</t>
  </si>
  <si>
    <t>SUPPLIER PRODUCT INDEX NO.</t>
  </si>
  <si>
    <t>AGUJA ST KOSHER (NETO)</t>
  </si>
  <si>
    <t>BIFE ANCHO SIN TAPA KOSHER (NETO)</t>
  </si>
  <si>
    <t>BRAZUELO KOSHER Retail (NETO)</t>
  </si>
  <si>
    <t>BRISKET KOSHER (NETO)</t>
  </si>
  <si>
    <t>CHINGOLO KOSHER (NETO)</t>
  </si>
  <si>
    <t>COGOTE KOSHER (NETO)</t>
  </si>
  <si>
    <t>MARUCHA KOSHER (NETO)</t>
  </si>
  <si>
    <t>CARNAZA DE PALETA KOSHER (NETO)</t>
  </si>
  <si>
    <t>TAPA DE AGUJA KOSHER (NETO)</t>
  </si>
  <si>
    <t>TAPA DE BIFE KOSHER (NETO)</t>
  </si>
  <si>
    <t>barcode</t>
  </si>
  <si>
    <t>AGUJA ST HALAK (NETO)</t>
  </si>
  <si>
    <t>BIFE ANCHO SIN TAPA HALAK (NETO)</t>
  </si>
  <si>
    <t>BRAZUELO HALAK Retail (NETO)</t>
  </si>
  <si>
    <t>BRISKET HALAK (NETO)</t>
  </si>
  <si>
    <t>CHINGOLO HALAK (NETO)</t>
  </si>
  <si>
    <t>COGOTE HALAK (NETO)</t>
  </si>
  <si>
    <t>MARUCHA HALAK (NETO)</t>
  </si>
  <si>
    <t>CARNAZA DE PALETA HALAK (NETO)</t>
  </si>
  <si>
    <t>TAPA DE AGUJA HALAK (NETO)</t>
  </si>
  <si>
    <t>TAPA DE BIFE HALAK (NETO)</t>
  </si>
  <si>
    <t>ENTRECOSTILLA HALAK (T BONE VEAL)</t>
  </si>
  <si>
    <t>F.Faena</t>
  </si>
  <si>
    <t>Cajas</t>
  </si>
  <si>
    <t>Peso bruto</t>
  </si>
  <si>
    <t>Peso Neto</t>
  </si>
  <si>
    <t>FECHA DE PRODUCCIÓN</t>
  </si>
  <si>
    <t>Grupo Nuevo</t>
  </si>
  <si>
    <t>Kosher</t>
  </si>
  <si>
    <t>Halak</t>
  </si>
  <si>
    <t>Estado</t>
  </si>
  <si>
    <t>(Varios elementos)</t>
  </si>
  <si>
    <t>WE. N°1</t>
  </si>
  <si>
    <t>Nro</t>
  </si>
  <si>
    <t>Fecha Prod</t>
  </si>
  <si>
    <t>Direccion</t>
  </si>
  <si>
    <t>Codigo</t>
  </si>
  <si>
    <t>Codigo de Barras</t>
  </si>
  <si>
    <t>MercDescripcion</t>
  </si>
  <si>
    <t>Fecha Faena</t>
  </si>
  <si>
    <t>Cajass</t>
  </si>
  <si>
    <t>Suma de Peso Bruto</t>
  </si>
  <si>
    <t>Kg.</t>
  </si>
  <si>
    <t>Suma de Cajas</t>
  </si>
  <si>
    <t>19/07/2018</t>
  </si>
  <si>
    <t>S</t>
  </si>
  <si>
    <t>17/07/2018</t>
  </si>
  <si>
    <t>Total 19/07/2018</t>
  </si>
  <si>
    <t>20/07/2018</t>
  </si>
  <si>
    <t>18/07/2018</t>
  </si>
  <si>
    <t>Total 20/07/2018</t>
  </si>
  <si>
    <t>24/07/2018</t>
  </si>
  <si>
    <t>GRASA SALADA HALAK (ATARA)</t>
  </si>
  <si>
    <t>TOTAL WE.N°1</t>
  </si>
  <si>
    <t>ENTRECOSTILLA KOSHER (T BONE VEAL)</t>
  </si>
  <si>
    <t>GRASA SALADA KOSHER</t>
  </si>
  <si>
    <t>Total 24/07/2018</t>
  </si>
  <si>
    <t>AZUL</t>
  </si>
  <si>
    <t>Spiced</t>
  </si>
  <si>
    <t>No Spiced</t>
  </si>
  <si>
    <t>INGRESO A DESPOSTADA</t>
  </si>
  <si>
    <t xml:space="preserve"> Slaughtering Date</t>
  </si>
  <si>
    <t>Date</t>
  </si>
  <si>
    <t>Quarters</t>
  </si>
  <si>
    <t>Weight</t>
  </si>
  <si>
    <t>RECHAZO EN CUARTEO POR MARBLING</t>
  </si>
  <si>
    <t>7290009127515</t>
  </si>
  <si>
    <t>7290009127492</t>
  </si>
  <si>
    <t>7290009330618</t>
  </si>
  <si>
    <t>7290009012989</t>
  </si>
  <si>
    <t>7290009330472</t>
  </si>
  <si>
    <t>7290009330922</t>
  </si>
  <si>
    <t>7290009391459</t>
  </si>
  <si>
    <t>7290009127867</t>
  </si>
  <si>
    <t>7290009013009</t>
  </si>
  <si>
    <t>7290009012965</t>
  </si>
  <si>
    <t>7290000551999</t>
  </si>
  <si>
    <t>7290000551203</t>
  </si>
  <si>
    <t>7290009127508</t>
  </si>
  <si>
    <t>7290009127485</t>
  </si>
  <si>
    <t>7290009330540</t>
  </si>
  <si>
    <t>7290009012996</t>
  </si>
  <si>
    <t>7290009330168</t>
  </si>
  <si>
    <t>7290009330854</t>
  </si>
  <si>
    <t>7290009127874</t>
  </si>
  <si>
    <t>7290009127676</t>
  </si>
  <si>
    <t>7290009013016</t>
  </si>
  <si>
    <t>7290009012972</t>
  </si>
  <si>
    <t>7290000553498</t>
  </si>
  <si>
    <t>7290008336789</t>
  </si>
  <si>
    <t>Total</t>
  </si>
  <si>
    <t>91-ARBFLSP</t>
  </si>
  <si>
    <t>ASADO KOSHER USA SPICED</t>
  </si>
  <si>
    <t>FD264540</t>
  </si>
  <si>
    <t>91-ARBRIF</t>
  </si>
  <si>
    <t>BRISKET KOSHER USA</t>
  </si>
  <si>
    <t>FD232034</t>
  </si>
  <si>
    <t>91-ARCHBF</t>
  </si>
  <si>
    <t>AGUJA ST KOSHER USA</t>
  </si>
  <si>
    <t>FD227608</t>
  </si>
  <si>
    <t>91-ARCLFSP</t>
  </si>
  <si>
    <t>CHINGOLO KOSHER USA SPICED</t>
  </si>
  <si>
    <t>FD231008</t>
  </si>
  <si>
    <t>91-ARKMSP</t>
  </si>
  <si>
    <t>BRAZUELO KOSHER USA SPICED</t>
  </si>
  <si>
    <t>FD236110</t>
  </si>
  <si>
    <t>91-ARLBF</t>
  </si>
  <si>
    <t>TAPA DE AGUJA ENTERA KOSHER USA</t>
  </si>
  <si>
    <t>FD228408</t>
  </si>
  <si>
    <t>91-ARMRF</t>
  </si>
  <si>
    <t>MARUCHA KOSHER USA</t>
  </si>
  <si>
    <t>FD230305</t>
  </si>
  <si>
    <t>91-ARNMSP</t>
  </si>
  <si>
    <t>COGOTE KOSHER USA SPICED</t>
  </si>
  <si>
    <t>FD228014</t>
  </si>
  <si>
    <t>91-ARRC</t>
  </si>
  <si>
    <t>BRAZUELO CONICO KOSHER USA</t>
  </si>
  <si>
    <t>FD236101</t>
  </si>
  <si>
    <t>91-ARRELF</t>
  </si>
  <si>
    <t>BIFE ANCHO SIN TAPA (GR) KOSHER USA</t>
  </si>
  <si>
    <t>FD224310</t>
  </si>
  <si>
    <t>91-ARSBFSP</t>
  </si>
  <si>
    <t>PALETA KOSHER USA SPICED</t>
  </si>
  <si>
    <t>FD230255</t>
  </si>
  <si>
    <t>91-ARTOPFSP</t>
  </si>
  <si>
    <t>TAPA DE BIFE KOSHER USA SPICED</t>
  </si>
  <si>
    <t>FD247031</t>
  </si>
  <si>
    <t>% Spiced</t>
  </si>
  <si>
    <t>91-ARBFLASP</t>
  </si>
  <si>
    <t>ASADO KOSHER USA SPICED (A)</t>
  </si>
  <si>
    <t>FD264542</t>
  </si>
  <si>
    <t>91-ARCLFASP</t>
  </si>
  <si>
    <t>CHINGOLO KOSHER USA SPICED (A)</t>
  </si>
  <si>
    <t>FD231009</t>
  </si>
  <si>
    <t>91-ARFMASP</t>
  </si>
  <si>
    <t>ENTRECOSTILLA KOSHER USA SPICED (A)</t>
  </si>
  <si>
    <t>FD243009</t>
  </si>
  <si>
    <t>91-ARKMASP</t>
  </si>
  <si>
    <t>BRAZUELO KOSHER USA SPICED (A)</t>
  </si>
  <si>
    <t>FD236111</t>
  </si>
  <si>
    <t>91-ARLBASP</t>
  </si>
  <si>
    <t>TAPA DE AGUJA KOSHER USA SPICED (A)</t>
  </si>
  <si>
    <t>FD230613</t>
  </si>
  <si>
    <t>91-ARMRFA</t>
  </si>
  <si>
    <t>MARUCHA KOSHER USA (A)</t>
  </si>
  <si>
    <t>FD230306</t>
  </si>
  <si>
    <t>91-ARNMASP</t>
  </si>
  <si>
    <t>COGOTE KOSHER USA SPICED (A)</t>
  </si>
  <si>
    <t>FD228015</t>
  </si>
  <si>
    <t>91-ARRCA</t>
  </si>
  <si>
    <t>BRAZUELO CONICO KOSHER USA (A)</t>
  </si>
  <si>
    <t>FD236102</t>
  </si>
  <si>
    <t>91-ARRELFA</t>
  </si>
  <si>
    <t>BIFE ANCHO SIN TAPA (GR) KOSHER USA (A)</t>
  </si>
  <si>
    <t>FD224312</t>
  </si>
  <si>
    <t>91-ARSBFASP</t>
  </si>
  <si>
    <t>PALETA KOSHER USA SPICED (A)</t>
  </si>
  <si>
    <t>FD230256</t>
  </si>
  <si>
    <t>91-ARTOPFASP</t>
  </si>
  <si>
    <t>TAPA DE BIFE KOSHER USA SPICED (A)</t>
  </si>
  <si>
    <t>FD247032</t>
  </si>
  <si>
    <t>91-ARLBOFA</t>
  </si>
  <si>
    <t>TAPA DE AGUJA. (TP) KOSHER USA (A)</t>
  </si>
  <si>
    <t>FD230601</t>
  </si>
  <si>
    <t>91-ARSKO</t>
  </si>
  <si>
    <t>ENTRAÑA FINA KOSHER USA</t>
  </si>
  <si>
    <t>FD219018</t>
  </si>
  <si>
    <t>91-ARBOBFA</t>
  </si>
  <si>
    <t>BRISKET KOSHER USA (A)</t>
  </si>
  <si>
    <t>FD232035</t>
  </si>
  <si>
    <t>91-ARCHBFA</t>
  </si>
  <si>
    <t>AGUJA ST KOSHER USA (A)</t>
  </si>
  <si>
    <t>FD227609</t>
  </si>
  <si>
    <t>91-ARSKOA</t>
  </si>
  <si>
    <t>ENTRAÑA FINA KOSHER USA (A)</t>
  </si>
  <si>
    <t>FD219016</t>
  </si>
  <si>
    <t>BARCODE</t>
  </si>
  <si>
    <t>Fecha de produccion</t>
  </si>
  <si>
    <t>Máx. de Fecha de faena</t>
  </si>
  <si>
    <t>Suma de Unidad.</t>
  </si>
  <si>
    <t>Suma de PesoBruto.</t>
  </si>
  <si>
    <t>Suma de Peso.</t>
  </si>
  <si>
    <t>TOTAL</t>
  </si>
  <si>
    <t>91-ARCLF</t>
  </si>
  <si>
    <t>CHINGOLO KOSHER USA</t>
  </si>
  <si>
    <t>FD231004</t>
  </si>
  <si>
    <t>91-ARCLFA</t>
  </si>
  <si>
    <t>CHINGOLO KOSHER USA (A)</t>
  </si>
  <si>
    <t>FD231005</t>
  </si>
  <si>
    <t>91-ARFM</t>
  </si>
  <si>
    <t>ENTRECOSTILLA KOSHER USA</t>
  </si>
  <si>
    <t>FD243002</t>
  </si>
  <si>
    <t>91-ARFMA</t>
  </si>
  <si>
    <t>ENTRECOSTILLA KOSHER USA (A)</t>
  </si>
  <si>
    <t>FD243007</t>
  </si>
  <si>
    <t>91-ARKM</t>
  </si>
  <si>
    <t>BRAZUELO KOSHER USA</t>
  </si>
  <si>
    <t>FD236003</t>
  </si>
  <si>
    <t>91-ARKMA</t>
  </si>
  <si>
    <t>BRAZUELO KOSHER USA (A)</t>
  </si>
  <si>
    <t>FD236004</t>
  </si>
  <si>
    <t>91-ARSBF</t>
  </si>
  <si>
    <t>PALETA KOSHER USA</t>
  </si>
  <si>
    <t>FD230206</t>
  </si>
  <si>
    <t>91-ARSBFA</t>
  </si>
  <si>
    <t>PALETA KOSHER USA (A)</t>
  </si>
  <si>
    <t>FD230210</t>
  </si>
  <si>
    <t>91-ARBOB2FA</t>
  </si>
  <si>
    <t>BRISKET 2DO CORTE KOSHER USA (A)</t>
  </si>
  <si>
    <t>FD232015</t>
  </si>
  <si>
    <t>BRISKET 1ER CORTE KOSHER USA (A)</t>
  </si>
  <si>
    <t>FD232014</t>
  </si>
  <si>
    <t>91-ARCHEFA</t>
  </si>
  <si>
    <t>HUACHALOMO KOSHER USA (A)</t>
  </si>
  <si>
    <t>FD226401</t>
  </si>
  <si>
    <t>91-ARFRFA</t>
  </si>
  <si>
    <t>SOBRECOSTILLA KOSHER USA (A)</t>
  </si>
  <si>
    <t>FD227901</t>
  </si>
  <si>
    <t>91-ARLBA</t>
  </si>
  <si>
    <t>TAPA DE AGUJA KOSHER USA (A)</t>
  </si>
  <si>
    <t>FD228402</t>
  </si>
  <si>
    <t>91-ARCHEF</t>
  </si>
  <si>
    <t>HUACHALOMO KOSHER USA</t>
  </si>
  <si>
    <t>FD226400</t>
  </si>
  <si>
    <t>7290001641071</t>
  </si>
  <si>
    <t>TAPA DE AGUJA ENTERA KOSHER USA (A)</t>
  </si>
  <si>
    <t>FD228403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</si>
</sst>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$&quot;\ * #,##0.00_ ;_ &quot;$&quot;\ * \-#,##0.00_ ;_ &quot;$&quot;\ * &quot;-&quot;??_ ;_ @_ "/>
    <numFmt numFmtId="43" formatCode="_ * #,##0.00_ ;_ * \-#,##0.00_ ;_ * &quot;-&quot;??_ ;_ @_ "/>
    <numFmt numFmtId="164" formatCode="General_)"/>
    <numFmt numFmtId="165" formatCode="_-* #,##0.00\ _€_-;\-* #,##0.00\ _€_-;_-* &quot;-&quot;??\ _€_-;_-@_-"/>
  </numFmts>
  <fonts count="5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8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color theme="4" tint="-0.249977111117893"/>
      <name val="Arial"/>
      <family val="2"/>
    </font>
    <font>
      <sz val="12"/>
      <color theme="5" tint="-0.249977111117893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charset val="177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71">
    <xf numFmtId="0" fontId="0" fillId="0" borderId="0"/>
    <xf numFmtId="0" fontId="18" fillId="0" borderId="0"/>
    <xf numFmtId="0" fontId="20" fillId="0" borderId="0" applyNumberFormat="0" applyFill="0" applyBorder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3" fillId="0" borderId="4" applyNumberFormat="0" applyFill="0" applyAlignment="0" applyProtection="0"/>
    <xf numFmtId="0" fontId="23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27" fillId="5" borderId="5" applyNumberFormat="0" applyAlignment="0" applyProtection="0"/>
    <xf numFmtId="0" fontId="28" fillId="6" borderId="6" applyNumberFormat="0" applyAlignment="0" applyProtection="0"/>
    <xf numFmtId="0" fontId="29" fillId="6" borderId="5" applyNumberFormat="0" applyAlignment="0" applyProtection="0"/>
    <xf numFmtId="0" fontId="30" fillId="0" borderId="7" applyNumberFormat="0" applyFill="0" applyAlignment="0" applyProtection="0"/>
    <xf numFmtId="0" fontId="31" fillId="7" borderId="8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0" applyNumberFormat="0" applyFill="0" applyAlignment="0" applyProtection="0"/>
    <xf numFmtId="0" fontId="35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35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35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35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35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35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8" borderId="9" applyNumberFormat="0" applyFont="0" applyAlignment="0" applyProtection="0"/>
    <xf numFmtId="0" fontId="18" fillId="0" borderId="0"/>
    <xf numFmtId="0" fontId="36" fillId="4" borderId="0" applyNumberFormat="0" applyBorder="0" applyAlignment="0" applyProtection="0"/>
    <xf numFmtId="0" fontId="35" fillId="12" borderId="0" applyNumberFormat="0" applyBorder="0" applyAlignment="0" applyProtection="0"/>
    <xf numFmtId="0" fontId="35" fillId="16" borderId="0" applyNumberFormat="0" applyBorder="0" applyAlignment="0" applyProtection="0"/>
    <xf numFmtId="0" fontId="35" fillId="20" borderId="0" applyNumberFormat="0" applyBorder="0" applyAlignment="0" applyProtection="0"/>
    <xf numFmtId="0" fontId="35" fillId="24" borderId="0" applyNumberFormat="0" applyBorder="0" applyAlignment="0" applyProtection="0"/>
    <xf numFmtId="0" fontId="35" fillId="28" borderId="0" applyNumberFormat="0" applyBorder="0" applyAlignment="0" applyProtection="0"/>
    <xf numFmtId="0" fontId="35" fillId="32" borderId="0" applyNumberFormat="0" applyBorder="0" applyAlignment="0" applyProtection="0"/>
    <xf numFmtId="0" fontId="18" fillId="0" borderId="0"/>
    <xf numFmtId="0" fontId="16" fillId="0" borderId="0"/>
    <xf numFmtId="9" fontId="16" fillId="0" borderId="0" applyFont="0" applyFill="0" applyBorder="0" applyAlignment="0" applyProtection="0"/>
    <xf numFmtId="0" fontId="16" fillId="8" borderId="9" applyNumberFormat="0" applyFont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43" fontId="37" fillId="0" borderId="0" applyFont="0" applyFill="0" applyBorder="0" applyAlignment="0" applyProtection="0"/>
    <xf numFmtId="0" fontId="42" fillId="0" borderId="0"/>
    <xf numFmtId="0" fontId="15" fillId="8" borderId="9" applyNumberFormat="0" applyFont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43" fillId="0" borderId="0"/>
    <xf numFmtId="0" fontId="14" fillId="8" borderId="9" applyNumberFormat="0" applyFont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44" fillId="0" borderId="0"/>
    <xf numFmtId="0" fontId="13" fillId="8" borderId="9" applyNumberFormat="0" applyFont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12" fillId="8" borderId="9" applyNumberFormat="0" applyFont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45" fillId="0" borderId="0"/>
    <xf numFmtId="0" fontId="11" fillId="8" borderId="9" applyNumberFormat="0" applyFont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46" fillId="0" borderId="0"/>
    <xf numFmtId="0" fontId="10" fillId="8" borderId="9" applyNumberFormat="0" applyFont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47" fillId="0" borderId="0"/>
    <xf numFmtId="0" fontId="9" fillId="8" borderId="9" applyNumberFormat="0" applyFont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18" fillId="0" borderId="0"/>
    <xf numFmtId="0" fontId="8" fillId="0" borderId="0"/>
    <xf numFmtId="0" fontId="7" fillId="8" borderId="9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50" fillId="0" borderId="0"/>
    <xf numFmtId="0" fontId="6" fillId="8" borderId="9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51" fillId="0" borderId="0"/>
    <xf numFmtId="0" fontId="5" fillId="8" borderId="9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9" fontId="37" fillId="0" borderId="0" applyFont="0" applyFill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8" borderId="9" applyNumberFormat="0" applyFont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43" fontId="37" fillId="0" borderId="0" applyFont="0" applyFill="0" applyBorder="0" applyAlignment="0" applyProtection="0"/>
    <xf numFmtId="0" fontId="18" fillId="0" borderId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18" fillId="0" borderId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18" fillId="0" borderId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18" fillId="0" borderId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18" fillId="0" borderId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18" fillId="0" borderId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18" fillId="0" borderId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52" fillId="0" borderId="0"/>
    <xf numFmtId="0" fontId="4" fillId="0" borderId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43" fontId="4" fillId="0" borderId="0" applyFont="0" applyFill="0" applyBorder="0" applyAlignment="0" applyProtection="0"/>
    <xf numFmtId="0" fontId="26" fillId="4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18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4" fillId="0" borderId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43" fontId="4" fillId="0" borderId="0" applyFont="0" applyFill="0" applyBorder="0" applyAlignment="0" applyProtection="0"/>
    <xf numFmtId="0" fontId="26" fillId="4" borderId="0" applyNumberFormat="0" applyBorder="0" applyAlignment="0" applyProtection="0"/>
    <xf numFmtId="0" fontId="37" fillId="0" borderId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8" borderId="9" applyNumberFormat="0" applyFont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43" fontId="37" fillId="0" borderId="0" applyFont="0" applyFill="0" applyBorder="0" applyAlignment="0" applyProtection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18" fillId="0" borderId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18" fillId="0" borderId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18" fillId="0" borderId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18" fillId="0" borderId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18" fillId="0" borderId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7" fillId="0" borderId="0"/>
    <xf numFmtId="0" fontId="3" fillId="8" borderId="9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  <xf numFmtId="0" fontId="1" fillId="8" borderId="9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52" fillId="0" borderId="0"/>
    <xf numFmtId="0" fontId="1" fillId="8" borderId="9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" fillId="0" borderId="0"/>
    <xf numFmtId="0" fontId="1" fillId="8" borderId="9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</cellStyleXfs>
  <cellXfs count="76">
    <xf numFmtId="0" fontId="0" fillId="0" borderId="0" xfId="0"/>
    <xf numFmtId="164" fontId="19" fillId="0" borderId="0" xfId="1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8" fillId="0" borderId="0" xfId="0" applyFont="1"/>
    <xf numFmtId="4" fontId="38" fillId="0" borderId="0" xfId="0" applyNumberFormat="1" applyFont="1" applyAlignment="1">
      <alignment horizontal="center" vertical="center"/>
    </xf>
    <xf numFmtId="4" fontId="38" fillId="33" borderId="0" xfId="0" applyNumberFormat="1" applyFont="1" applyFill="1" applyAlignment="1">
      <alignment horizontal="center" vertical="center"/>
    </xf>
    <xf numFmtId="4" fontId="38" fillId="34" borderId="0" xfId="0" applyNumberFormat="1" applyFont="1" applyFill="1" applyAlignment="1">
      <alignment horizontal="center" vertical="center"/>
    </xf>
    <xf numFmtId="4" fontId="39" fillId="0" borderId="0" xfId="0" applyNumberFormat="1" applyFont="1" applyAlignment="1">
      <alignment horizontal="center" vertical="center"/>
    </xf>
    <xf numFmtId="4" fontId="39" fillId="0" borderId="0" xfId="0" applyNumberFormat="1" applyFont="1" applyAlignment="1">
      <alignment vertical="center"/>
    </xf>
    <xf numFmtId="4" fontId="38" fillId="33" borderId="11" xfId="0" applyNumberFormat="1" applyFont="1" applyFill="1" applyBorder="1" applyAlignment="1">
      <alignment horizontal="center" vertical="center"/>
    </xf>
    <xf numFmtId="1" fontId="38" fillId="0" borderId="0" xfId="75" applyNumberFormat="1" applyFont="1" applyAlignment="1">
      <alignment horizontal="center" vertical="center"/>
    </xf>
    <xf numFmtId="0" fontId="40" fillId="35" borderId="0" xfId="0" applyFont="1" applyFill="1"/>
    <xf numFmtId="4" fontId="0" fillId="35" borderId="0" xfId="0" applyNumberFormat="1" applyFill="1" applyAlignment="1">
      <alignment horizontal="center" vertical="center"/>
    </xf>
    <xf numFmtId="3" fontId="0" fillId="35" borderId="0" xfId="0" applyNumberFormat="1" applyFill="1" applyAlignment="1">
      <alignment horizontal="center" vertical="center"/>
    </xf>
    <xf numFmtId="4" fontId="39" fillId="35" borderId="0" xfId="0" applyNumberFormat="1" applyFont="1" applyFill="1" applyAlignment="1">
      <alignment horizontal="center" vertical="center"/>
    </xf>
    <xf numFmtId="4" fontId="39" fillId="36" borderId="0" xfId="0" applyNumberFormat="1" applyFont="1" applyFill="1" applyAlignment="1">
      <alignment horizontal="center" vertical="center"/>
    </xf>
    <xf numFmtId="1" fontId="34" fillId="35" borderId="0" xfId="75" applyNumberFormat="1" applyFont="1" applyFill="1" applyAlignment="1">
      <alignment horizontal="center" vertical="center"/>
    </xf>
    <xf numFmtId="4" fontId="34" fillId="35" borderId="0" xfId="0" applyNumberFormat="1" applyFont="1" applyFill="1" applyAlignment="1">
      <alignment horizontal="center" vertical="center"/>
    </xf>
    <xf numFmtId="0" fontId="0" fillId="35" borderId="0" xfId="0" applyFill="1"/>
    <xf numFmtId="0" fontId="0" fillId="36" borderId="0" xfId="0" applyFill="1"/>
    <xf numFmtId="4" fontId="0" fillId="33" borderId="11" xfId="0" applyNumberFormat="1" applyFill="1" applyBorder="1" applyAlignment="1">
      <alignment horizontal="center" vertical="center"/>
    </xf>
    <xf numFmtId="4" fontId="38" fillId="37" borderId="11" xfId="0" applyNumberFormat="1" applyFont="1" applyFill="1" applyBorder="1" applyAlignment="1">
      <alignment horizontal="center" vertical="center"/>
    </xf>
    <xf numFmtId="4" fontId="0" fillId="37" borderId="11" xfId="0" applyNumberForma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36" borderId="0" xfId="0" applyFont="1" applyFill="1" applyAlignment="1">
      <alignment horizontal="center" vertical="center"/>
    </xf>
    <xf numFmtId="0" fontId="34" fillId="0" borderId="0" xfId="0" applyFont="1"/>
    <xf numFmtId="4" fontId="0" fillId="0" borderId="0" xfId="0" applyNumberFormat="1"/>
    <xf numFmtId="4" fontId="41" fillId="33" borderId="0" xfId="0" applyNumberFormat="1" applyFont="1" applyFill="1" applyAlignment="1">
      <alignment horizontal="center" vertical="center"/>
    </xf>
    <xf numFmtId="0" fontId="41" fillId="0" borderId="0" xfId="0" applyFont="1"/>
    <xf numFmtId="4" fontId="41" fillId="0" borderId="0" xfId="0" applyNumberFormat="1" applyFont="1"/>
    <xf numFmtId="1" fontId="39" fillId="0" borderId="0" xfId="0" applyNumberFormat="1" applyFont="1" applyAlignment="1">
      <alignment horizontal="center" vertical="center"/>
    </xf>
    <xf numFmtId="1" fontId="0" fillId="0" borderId="0" xfId="0" applyNumberFormat="1"/>
    <xf numFmtId="14" fontId="19" fillId="0" borderId="0" xfId="1" applyNumberFormat="1" applyFont="1" applyAlignment="1">
      <alignment horizontal="center" vertical="center" wrapText="1"/>
    </xf>
    <xf numFmtId="1" fontId="48" fillId="0" borderId="0" xfId="1" applyNumberFormat="1" applyFont="1" applyAlignment="1">
      <alignment horizontal="left" vertical="center" wrapText="1"/>
    </xf>
    <xf numFmtId="1" fontId="48" fillId="0" borderId="0" xfId="1" applyNumberFormat="1" applyFont="1" applyAlignment="1">
      <alignment horizontal="center" vertical="center" wrapText="1"/>
    </xf>
    <xf numFmtId="14" fontId="49" fillId="0" borderId="0" xfId="1" applyNumberFormat="1" applyFont="1" applyAlignment="1">
      <alignment horizontal="center" vertical="center" wrapText="1"/>
    </xf>
    <xf numFmtId="3" fontId="49" fillId="0" borderId="0" xfId="1" applyNumberFormat="1" applyFont="1" applyAlignment="1">
      <alignment horizontal="center" vertical="center" wrapText="1"/>
    </xf>
    <xf numFmtId="14" fontId="49" fillId="35" borderId="0" xfId="1" applyNumberFormat="1" applyFont="1" applyFill="1" applyAlignment="1">
      <alignment horizontal="center" vertical="center" wrapText="1"/>
    </xf>
    <xf numFmtId="3" fontId="49" fillId="35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5" borderId="1" xfId="0" applyFill="1" applyBorder="1" applyAlignment="1">
      <alignment horizontal="center"/>
    </xf>
    <xf numFmtId="0" fontId="34" fillId="33" borderId="1" xfId="0" applyFont="1" applyFill="1" applyBorder="1" applyAlignment="1">
      <alignment horizontal="center" vertical="center" wrapText="1"/>
    </xf>
    <xf numFmtId="0" fontId="34" fillId="33" borderId="1" xfId="0" applyFont="1" applyFill="1" applyBorder="1" applyAlignment="1">
      <alignment horizontal="center" vertical="center"/>
    </xf>
    <xf numFmtId="0" fontId="34" fillId="0" borderId="12" xfId="0" applyFont="1" applyBorder="1"/>
    <xf numFmtId="0" fontId="0" fillId="0" borderId="13" xfId="0" applyBorder="1"/>
    <xf numFmtId="0" fontId="0" fillId="0" borderId="14" xfId="0" applyBorder="1"/>
    <xf numFmtId="0" fontId="34" fillId="0" borderId="14" xfId="0" applyFont="1" applyBorder="1"/>
    <xf numFmtId="0" fontId="0" fillId="0" borderId="15" xfId="0" applyBorder="1"/>
    <xf numFmtId="0" fontId="0" fillId="0" borderId="16" xfId="0" applyBorder="1"/>
    <xf numFmtId="14" fontId="0" fillId="0" borderId="0" xfId="0" applyNumberFormat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34" fillId="33" borderId="17" xfId="0" applyFont="1" applyFill="1" applyBorder="1" applyAlignment="1">
      <alignment horizontal="center" vertical="center" wrapText="1"/>
    </xf>
    <xf numFmtId="14" fontId="0" fillId="0" borderId="18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0" fillId="38" borderId="1" xfId="240" applyNumberFormat="1" applyFont="1" applyFill="1" applyBorder="1" applyAlignment="1">
      <alignment horizontal="center"/>
    </xf>
    <xf numFmtId="3" fontId="0" fillId="0" borderId="16" xfId="0" applyNumberFormat="1" applyBorder="1"/>
    <xf numFmtId="3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3" fontId="34" fillId="0" borderId="1" xfId="0" applyNumberFormat="1" applyFont="1" applyBorder="1" applyAlignment="1">
      <alignment horizontal="center" vertical="center" wrapText="1"/>
    </xf>
    <xf numFmtId="10" fontId="49" fillId="35" borderId="0" xfId="1" applyNumberFormat="1" applyFont="1" applyFill="1" applyAlignment="1">
      <alignment horizontal="center" vertical="center" wrapText="1"/>
    </xf>
    <xf numFmtId="14" fontId="49" fillId="39" borderId="0" xfId="1" applyNumberFormat="1" applyFont="1" applyFill="1" applyAlignment="1">
      <alignment horizontal="center" vertical="center" wrapText="1"/>
    </xf>
    <xf numFmtId="3" fontId="49" fillId="39" borderId="0" xfId="1" applyNumberFormat="1" applyFont="1" applyFill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3" fontId="34" fillId="0" borderId="0" xfId="0" applyNumberFormat="1" applyFont="1" applyAlignment="1">
      <alignment horizontal="center" vertical="center"/>
    </xf>
    <xf numFmtId="0" fontId="1" fillId="0" borderId="0" xfId="703"/>
    <xf numFmtId="0" fontId="34" fillId="0" borderId="11" xfId="0" applyFont="1" applyBorder="1"/>
    <xf numFmtId="14" fontId="0" fillId="0" borderId="0" xfId="0" applyNumberFormat="1"/>
    <xf numFmtId="0" fontId="34" fillId="33" borderId="11" xfId="0" applyFont="1" applyFill="1" applyBorder="1" applyAlignment="1">
      <alignment horizontal="center" vertical="center" wrapText="1"/>
    </xf>
    <xf numFmtId="14" fontId="34" fillId="33" borderId="1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4" fontId="1" fillId="0" borderId="0" xfId="703" applyNumberFormat="1"/>
    <xf numFmtId="14" fontId="34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/>
    </xf>
  </cellXfs>
  <cellStyles count="871">
    <cellStyle name="20% - Énfasis1" xfId="19" builtinId="30" customBuiltin="1"/>
    <cellStyle name="20% - Énfasis1 10" xfId="200" xr:uid="{00000000-0005-0000-0000-000001000000}"/>
    <cellStyle name="20% - Énfasis1 10 2" xfId="625" xr:uid="{00000000-0005-0000-0000-000002000000}"/>
    <cellStyle name="20% - Énfasis1 10 3" xfId="407" xr:uid="{00000000-0005-0000-0000-000003000000}"/>
    <cellStyle name="20% - Énfasis1 11" xfId="214" xr:uid="{00000000-0005-0000-0000-000004000000}"/>
    <cellStyle name="20% - Énfasis1 11 2" xfId="639" xr:uid="{00000000-0005-0000-0000-000005000000}"/>
    <cellStyle name="20% - Énfasis1 11 3" xfId="422" xr:uid="{00000000-0005-0000-0000-000006000000}"/>
    <cellStyle name="20% - Énfasis1 12" xfId="228" xr:uid="{00000000-0005-0000-0000-000007000000}"/>
    <cellStyle name="20% - Énfasis1 12 2" xfId="453" xr:uid="{00000000-0005-0000-0000-000008000000}"/>
    <cellStyle name="20% - Énfasis1 13" xfId="658" xr:uid="{00000000-0005-0000-0000-000009000000}"/>
    <cellStyle name="20% - Énfasis1 14" xfId="241" xr:uid="{00000000-0005-0000-0000-00000A000000}"/>
    <cellStyle name="20% - Énfasis1 15" xfId="672" xr:uid="{00000000-0005-0000-0000-00000B000000}"/>
    <cellStyle name="20% - Énfasis1 16" xfId="685" xr:uid="{00000000-0005-0000-0000-00000C000000}"/>
    <cellStyle name="20% - Énfasis1 17" xfId="705" xr:uid="{00000000-0005-0000-0000-00000D000000}"/>
    <cellStyle name="20% - Énfasis1 2" xfId="57" xr:uid="{00000000-0005-0000-0000-00000E000000}"/>
    <cellStyle name="20% - Énfasis1 2 2" xfId="497" xr:uid="{00000000-0005-0000-0000-00000F000000}"/>
    <cellStyle name="20% - Énfasis1 2 3" xfId="265" xr:uid="{00000000-0005-0000-0000-000010000000}"/>
    <cellStyle name="20% - Énfasis1 2 4" xfId="725" xr:uid="{00000000-0005-0000-0000-000011000000}"/>
    <cellStyle name="20% - Énfasis1 3" xfId="78" xr:uid="{00000000-0005-0000-0000-000012000000}"/>
    <cellStyle name="20% - Énfasis1 3 2" xfId="511" xr:uid="{00000000-0005-0000-0000-000013000000}"/>
    <cellStyle name="20% - Énfasis1 3 3" xfId="286" xr:uid="{00000000-0005-0000-0000-000014000000}"/>
    <cellStyle name="20% - Énfasis1 3 4" xfId="765" xr:uid="{00000000-0005-0000-0000-000015000000}"/>
    <cellStyle name="20% - Énfasis1 4" xfId="98" xr:uid="{00000000-0005-0000-0000-000016000000}"/>
    <cellStyle name="20% - Énfasis1 4 2" xfId="524" xr:uid="{00000000-0005-0000-0000-000017000000}"/>
    <cellStyle name="20% - Énfasis1 4 3" xfId="306" xr:uid="{00000000-0005-0000-0000-000018000000}"/>
    <cellStyle name="20% - Énfasis1 5" xfId="118" xr:uid="{00000000-0005-0000-0000-000019000000}"/>
    <cellStyle name="20% - Énfasis1 5 2" xfId="544" xr:uid="{00000000-0005-0000-0000-00001A000000}"/>
    <cellStyle name="20% - Énfasis1 5 3" xfId="326" xr:uid="{00000000-0005-0000-0000-00001B000000}"/>
    <cellStyle name="20% - Énfasis1 6" xfId="137" xr:uid="{00000000-0005-0000-0000-00001C000000}"/>
    <cellStyle name="20% - Énfasis1 6 2" xfId="563" xr:uid="{00000000-0005-0000-0000-00001D000000}"/>
    <cellStyle name="20% - Énfasis1 6 3" xfId="345" xr:uid="{00000000-0005-0000-0000-00001E000000}"/>
    <cellStyle name="20% - Énfasis1 7" xfId="151" xr:uid="{00000000-0005-0000-0000-00001F000000}"/>
    <cellStyle name="20% - Énfasis1 7 2" xfId="577" xr:uid="{00000000-0005-0000-0000-000020000000}"/>
    <cellStyle name="20% - Énfasis1 7 3" xfId="359" xr:uid="{00000000-0005-0000-0000-000021000000}"/>
    <cellStyle name="20% - Énfasis1 8" xfId="171" xr:uid="{00000000-0005-0000-0000-000022000000}"/>
    <cellStyle name="20% - Énfasis1 8 2" xfId="597" xr:uid="{00000000-0005-0000-0000-000023000000}"/>
    <cellStyle name="20% - Énfasis1 8 3" xfId="379" xr:uid="{00000000-0005-0000-0000-000024000000}"/>
    <cellStyle name="20% - Énfasis1 9" xfId="185" xr:uid="{00000000-0005-0000-0000-000025000000}"/>
    <cellStyle name="20% - Énfasis1 9 2" xfId="611" xr:uid="{00000000-0005-0000-0000-000026000000}"/>
    <cellStyle name="20% - Énfasis1 9 3" xfId="393" xr:uid="{00000000-0005-0000-0000-000027000000}"/>
    <cellStyle name="20% - Énfasis2" xfId="23" builtinId="34" customBuiltin="1"/>
    <cellStyle name="20% - Énfasis2 10" xfId="202" xr:uid="{00000000-0005-0000-0000-000029000000}"/>
    <cellStyle name="20% - Énfasis2 10 2" xfId="627" xr:uid="{00000000-0005-0000-0000-00002A000000}"/>
    <cellStyle name="20% - Énfasis2 10 3" xfId="409" xr:uid="{00000000-0005-0000-0000-00002B000000}"/>
    <cellStyle name="20% - Énfasis2 11" xfId="216" xr:uid="{00000000-0005-0000-0000-00002C000000}"/>
    <cellStyle name="20% - Énfasis2 11 2" xfId="641" xr:uid="{00000000-0005-0000-0000-00002D000000}"/>
    <cellStyle name="20% - Énfasis2 11 3" xfId="424" xr:uid="{00000000-0005-0000-0000-00002E000000}"/>
    <cellStyle name="20% - Énfasis2 12" xfId="230" xr:uid="{00000000-0005-0000-0000-00002F000000}"/>
    <cellStyle name="20% - Énfasis2 12 2" xfId="455" xr:uid="{00000000-0005-0000-0000-000030000000}"/>
    <cellStyle name="20% - Énfasis2 13" xfId="660" xr:uid="{00000000-0005-0000-0000-000031000000}"/>
    <cellStyle name="20% - Énfasis2 14" xfId="244" xr:uid="{00000000-0005-0000-0000-000032000000}"/>
    <cellStyle name="20% - Énfasis2 15" xfId="674" xr:uid="{00000000-0005-0000-0000-000033000000}"/>
    <cellStyle name="20% - Énfasis2 16" xfId="688" xr:uid="{00000000-0005-0000-0000-000034000000}"/>
    <cellStyle name="20% - Énfasis2 17" xfId="708" xr:uid="{00000000-0005-0000-0000-000035000000}"/>
    <cellStyle name="20% - Énfasis2 2" xfId="60" xr:uid="{00000000-0005-0000-0000-000036000000}"/>
    <cellStyle name="20% - Énfasis2 2 2" xfId="499" xr:uid="{00000000-0005-0000-0000-000037000000}"/>
    <cellStyle name="20% - Énfasis2 2 3" xfId="268" xr:uid="{00000000-0005-0000-0000-000038000000}"/>
    <cellStyle name="20% - Énfasis2 2 4" xfId="727" xr:uid="{00000000-0005-0000-0000-000039000000}"/>
    <cellStyle name="20% - Énfasis2 3" xfId="81" xr:uid="{00000000-0005-0000-0000-00003A000000}"/>
    <cellStyle name="20% - Énfasis2 3 2" xfId="513" xr:uid="{00000000-0005-0000-0000-00003B000000}"/>
    <cellStyle name="20% - Énfasis2 3 3" xfId="289" xr:uid="{00000000-0005-0000-0000-00003C000000}"/>
    <cellStyle name="20% - Énfasis2 3 4" xfId="768" xr:uid="{00000000-0005-0000-0000-00003D000000}"/>
    <cellStyle name="20% - Énfasis2 4" xfId="101" xr:uid="{00000000-0005-0000-0000-00003E000000}"/>
    <cellStyle name="20% - Énfasis2 4 2" xfId="527" xr:uid="{00000000-0005-0000-0000-00003F000000}"/>
    <cellStyle name="20% - Énfasis2 4 3" xfId="309" xr:uid="{00000000-0005-0000-0000-000040000000}"/>
    <cellStyle name="20% - Énfasis2 5" xfId="121" xr:uid="{00000000-0005-0000-0000-000041000000}"/>
    <cellStyle name="20% - Énfasis2 5 2" xfId="547" xr:uid="{00000000-0005-0000-0000-000042000000}"/>
    <cellStyle name="20% - Énfasis2 5 3" xfId="329" xr:uid="{00000000-0005-0000-0000-000043000000}"/>
    <cellStyle name="20% - Énfasis2 6" xfId="139" xr:uid="{00000000-0005-0000-0000-000044000000}"/>
    <cellStyle name="20% - Énfasis2 6 2" xfId="565" xr:uid="{00000000-0005-0000-0000-000045000000}"/>
    <cellStyle name="20% - Énfasis2 6 3" xfId="347" xr:uid="{00000000-0005-0000-0000-000046000000}"/>
    <cellStyle name="20% - Énfasis2 7" xfId="154" xr:uid="{00000000-0005-0000-0000-000047000000}"/>
    <cellStyle name="20% - Énfasis2 7 2" xfId="580" xr:uid="{00000000-0005-0000-0000-000048000000}"/>
    <cellStyle name="20% - Énfasis2 7 3" xfId="362" xr:uid="{00000000-0005-0000-0000-000049000000}"/>
    <cellStyle name="20% - Énfasis2 8" xfId="173" xr:uid="{00000000-0005-0000-0000-00004A000000}"/>
    <cellStyle name="20% - Énfasis2 8 2" xfId="599" xr:uid="{00000000-0005-0000-0000-00004B000000}"/>
    <cellStyle name="20% - Énfasis2 8 3" xfId="381" xr:uid="{00000000-0005-0000-0000-00004C000000}"/>
    <cellStyle name="20% - Énfasis2 9" xfId="187" xr:uid="{00000000-0005-0000-0000-00004D000000}"/>
    <cellStyle name="20% - Énfasis2 9 2" xfId="613" xr:uid="{00000000-0005-0000-0000-00004E000000}"/>
    <cellStyle name="20% - Énfasis2 9 3" xfId="395" xr:uid="{00000000-0005-0000-0000-00004F000000}"/>
    <cellStyle name="20% - Énfasis3" xfId="27" builtinId="38" customBuiltin="1"/>
    <cellStyle name="20% - Énfasis3 10" xfId="204" xr:uid="{00000000-0005-0000-0000-000051000000}"/>
    <cellStyle name="20% - Énfasis3 10 2" xfId="629" xr:uid="{00000000-0005-0000-0000-000052000000}"/>
    <cellStyle name="20% - Énfasis3 10 3" xfId="411" xr:uid="{00000000-0005-0000-0000-000053000000}"/>
    <cellStyle name="20% - Énfasis3 11" xfId="218" xr:uid="{00000000-0005-0000-0000-000054000000}"/>
    <cellStyle name="20% - Énfasis3 11 2" xfId="643" xr:uid="{00000000-0005-0000-0000-000055000000}"/>
    <cellStyle name="20% - Énfasis3 11 3" xfId="426" xr:uid="{00000000-0005-0000-0000-000056000000}"/>
    <cellStyle name="20% - Énfasis3 12" xfId="232" xr:uid="{00000000-0005-0000-0000-000057000000}"/>
    <cellStyle name="20% - Énfasis3 12 2" xfId="457" xr:uid="{00000000-0005-0000-0000-000058000000}"/>
    <cellStyle name="20% - Énfasis3 13" xfId="662" xr:uid="{00000000-0005-0000-0000-000059000000}"/>
    <cellStyle name="20% - Énfasis3 14" xfId="247" xr:uid="{00000000-0005-0000-0000-00005A000000}"/>
    <cellStyle name="20% - Énfasis3 15" xfId="676" xr:uid="{00000000-0005-0000-0000-00005B000000}"/>
    <cellStyle name="20% - Énfasis3 16" xfId="691" xr:uid="{00000000-0005-0000-0000-00005C000000}"/>
    <cellStyle name="20% - Énfasis3 17" xfId="711" xr:uid="{00000000-0005-0000-0000-00005D000000}"/>
    <cellStyle name="20% - Énfasis3 2" xfId="63" xr:uid="{00000000-0005-0000-0000-00005E000000}"/>
    <cellStyle name="20% - Énfasis3 2 2" xfId="501" xr:uid="{00000000-0005-0000-0000-00005F000000}"/>
    <cellStyle name="20% - Énfasis3 2 3" xfId="271" xr:uid="{00000000-0005-0000-0000-000060000000}"/>
    <cellStyle name="20% - Énfasis3 2 4" xfId="729" xr:uid="{00000000-0005-0000-0000-000061000000}"/>
    <cellStyle name="20% - Énfasis3 3" xfId="84" xr:uid="{00000000-0005-0000-0000-000062000000}"/>
    <cellStyle name="20% - Énfasis3 3 2" xfId="515" xr:uid="{00000000-0005-0000-0000-000063000000}"/>
    <cellStyle name="20% - Énfasis3 3 3" xfId="292" xr:uid="{00000000-0005-0000-0000-000064000000}"/>
    <cellStyle name="20% - Énfasis3 3 4" xfId="771" xr:uid="{00000000-0005-0000-0000-000065000000}"/>
    <cellStyle name="20% - Énfasis3 4" xfId="104" xr:uid="{00000000-0005-0000-0000-000066000000}"/>
    <cellStyle name="20% - Énfasis3 4 2" xfId="530" xr:uid="{00000000-0005-0000-0000-000067000000}"/>
    <cellStyle name="20% - Énfasis3 4 3" xfId="312" xr:uid="{00000000-0005-0000-0000-000068000000}"/>
    <cellStyle name="20% - Énfasis3 5" xfId="124" xr:uid="{00000000-0005-0000-0000-000069000000}"/>
    <cellStyle name="20% - Énfasis3 5 2" xfId="550" xr:uid="{00000000-0005-0000-0000-00006A000000}"/>
    <cellStyle name="20% - Énfasis3 5 3" xfId="332" xr:uid="{00000000-0005-0000-0000-00006B000000}"/>
    <cellStyle name="20% - Énfasis3 6" xfId="141" xr:uid="{00000000-0005-0000-0000-00006C000000}"/>
    <cellStyle name="20% - Énfasis3 6 2" xfId="567" xr:uid="{00000000-0005-0000-0000-00006D000000}"/>
    <cellStyle name="20% - Énfasis3 6 3" xfId="349" xr:uid="{00000000-0005-0000-0000-00006E000000}"/>
    <cellStyle name="20% - Énfasis3 7" xfId="157" xr:uid="{00000000-0005-0000-0000-00006F000000}"/>
    <cellStyle name="20% - Énfasis3 7 2" xfId="583" xr:uid="{00000000-0005-0000-0000-000070000000}"/>
    <cellStyle name="20% - Énfasis3 7 3" xfId="365" xr:uid="{00000000-0005-0000-0000-000071000000}"/>
    <cellStyle name="20% - Énfasis3 8" xfId="175" xr:uid="{00000000-0005-0000-0000-000072000000}"/>
    <cellStyle name="20% - Énfasis3 8 2" xfId="601" xr:uid="{00000000-0005-0000-0000-000073000000}"/>
    <cellStyle name="20% - Énfasis3 8 3" xfId="383" xr:uid="{00000000-0005-0000-0000-000074000000}"/>
    <cellStyle name="20% - Énfasis3 9" xfId="189" xr:uid="{00000000-0005-0000-0000-000075000000}"/>
    <cellStyle name="20% - Énfasis3 9 2" xfId="615" xr:uid="{00000000-0005-0000-0000-000076000000}"/>
    <cellStyle name="20% - Énfasis3 9 3" xfId="397" xr:uid="{00000000-0005-0000-0000-000077000000}"/>
    <cellStyle name="20% - Énfasis4" xfId="31" builtinId="42" customBuiltin="1"/>
    <cellStyle name="20% - Énfasis4 10" xfId="206" xr:uid="{00000000-0005-0000-0000-000079000000}"/>
    <cellStyle name="20% - Énfasis4 10 2" xfId="631" xr:uid="{00000000-0005-0000-0000-00007A000000}"/>
    <cellStyle name="20% - Énfasis4 10 3" xfId="413" xr:uid="{00000000-0005-0000-0000-00007B000000}"/>
    <cellStyle name="20% - Énfasis4 11" xfId="220" xr:uid="{00000000-0005-0000-0000-00007C000000}"/>
    <cellStyle name="20% - Énfasis4 11 2" xfId="645" xr:uid="{00000000-0005-0000-0000-00007D000000}"/>
    <cellStyle name="20% - Énfasis4 11 3" xfId="428" xr:uid="{00000000-0005-0000-0000-00007E000000}"/>
    <cellStyle name="20% - Énfasis4 12" xfId="234" xr:uid="{00000000-0005-0000-0000-00007F000000}"/>
    <cellStyle name="20% - Énfasis4 12 2" xfId="459" xr:uid="{00000000-0005-0000-0000-000080000000}"/>
    <cellStyle name="20% - Énfasis4 13" xfId="664" xr:uid="{00000000-0005-0000-0000-000081000000}"/>
    <cellStyle name="20% - Énfasis4 14" xfId="250" xr:uid="{00000000-0005-0000-0000-000082000000}"/>
    <cellStyle name="20% - Énfasis4 15" xfId="678" xr:uid="{00000000-0005-0000-0000-000083000000}"/>
    <cellStyle name="20% - Énfasis4 16" xfId="694" xr:uid="{00000000-0005-0000-0000-000084000000}"/>
    <cellStyle name="20% - Énfasis4 17" xfId="714" xr:uid="{00000000-0005-0000-0000-000085000000}"/>
    <cellStyle name="20% - Énfasis4 2" xfId="66" xr:uid="{00000000-0005-0000-0000-000086000000}"/>
    <cellStyle name="20% - Énfasis4 2 2" xfId="503" xr:uid="{00000000-0005-0000-0000-000087000000}"/>
    <cellStyle name="20% - Énfasis4 2 3" xfId="274" xr:uid="{00000000-0005-0000-0000-000088000000}"/>
    <cellStyle name="20% - Énfasis4 2 4" xfId="731" xr:uid="{00000000-0005-0000-0000-000089000000}"/>
    <cellStyle name="20% - Énfasis4 3" xfId="87" xr:uid="{00000000-0005-0000-0000-00008A000000}"/>
    <cellStyle name="20% - Énfasis4 3 2" xfId="517" xr:uid="{00000000-0005-0000-0000-00008B000000}"/>
    <cellStyle name="20% - Énfasis4 3 3" xfId="295" xr:uid="{00000000-0005-0000-0000-00008C000000}"/>
    <cellStyle name="20% - Énfasis4 3 4" xfId="774" xr:uid="{00000000-0005-0000-0000-00008D000000}"/>
    <cellStyle name="20% - Énfasis4 4" xfId="107" xr:uid="{00000000-0005-0000-0000-00008E000000}"/>
    <cellStyle name="20% - Énfasis4 4 2" xfId="533" xr:uid="{00000000-0005-0000-0000-00008F000000}"/>
    <cellStyle name="20% - Énfasis4 4 3" xfId="315" xr:uid="{00000000-0005-0000-0000-000090000000}"/>
    <cellStyle name="20% - Énfasis4 5" xfId="127" xr:uid="{00000000-0005-0000-0000-000091000000}"/>
    <cellStyle name="20% - Énfasis4 5 2" xfId="553" xr:uid="{00000000-0005-0000-0000-000092000000}"/>
    <cellStyle name="20% - Énfasis4 5 3" xfId="335" xr:uid="{00000000-0005-0000-0000-000093000000}"/>
    <cellStyle name="20% - Énfasis4 6" xfId="143" xr:uid="{00000000-0005-0000-0000-000094000000}"/>
    <cellStyle name="20% - Énfasis4 6 2" xfId="569" xr:uid="{00000000-0005-0000-0000-000095000000}"/>
    <cellStyle name="20% - Énfasis4 6 3" xfId="351" xr:uid="{00000000-0005-0000-0000-000096000000}"/>
    <cellStyle name="20% - Énfasis4 7" xfId="160" xr:uid="{00000000-0005-0000-0000-000097000000}"/>
    <cellStyle name="20% - Énfasis4 7 2" xfId="586" xr:uid="{00000000-0005-0000-0000-000098000000}"/>
    <cellStyle name="20% - Énfasis4 7 3" xfId="368" xr:uid="{00000000-0005-0000-0000-000099000000}"/>
    <cellStyle name="20% - Énfasis4 8" xfId="177" xr:uid="{00000000-0005-0000-0000-00009A000000}"/>
    <cellStyle name="20% - Énfasis4 8 2" xfId="603" xr:uid="{00000000-0005-0000-0000-00009B000000}"/>
    <cellStyle name="20% - Énfasis4 8 3" xfId="385" xr:uid="{00000000-0005-0000-0000-00009C000000}"/>
    <cellStyle name="20% - Énfasis4 9" xfId="191" xr:uid="{00000000-0005-0000-0000-00009D000000}"/>
    <cellStyle name="20% - Énfasis4 9 2" xfId="617" xr:uid="{00000000-0005-0000-0000-00009E000000}"/>
    <cellStyle name="20% - Énfasis4 9 3" xfId="399" xr:uid="{00000000-0005-0000-0000-00009F000000}"/>
    <cellStyle name="20% - Énfasis5" xfId="35" builtinId="46" customBuiltin="1"/>
    <cellStyle name="20% - Énfasis5 10" xfId="208" xr:uid="{00000000-0005-0000-0000-0000A1000000}"/>
    <cellStyle name="20% - Énfasis5 10 2" xfId="633" xr:uid="{00000000-0005-0000-0000-0000A2000000}"/>
    <cellStyle name="20% - Énfasis5 10 3" xfId="415" xr:uid="{00000000-0005-0000-0000-0000A3000000}"/>
    <cellStyle name="20% - Énfasis5 11" xfId="222" xr:uid="{00000000-0005-0000-0000-0000A4000000}"/>
    <cellStyle name="20% - Énfasis5 11 2" xfId="647" xr:uid="{00000000-0005-0000-0000-0000A5000000}"/>
    <cellStyle name="20% - Énfasis5 11 3" xfId="430" xr:uid="{00000000-0005-0000-0000-0000A6000000}"/>
    <cellStyle name="20% - Énfasis5 12" xfId="236" xr:uid="{00000000-0005-0000-0000-0000A7000000}"/>
    <cellStyle name="20% - Énfasis5 12 2" xfId="461" xr:uid="{00000000-0005-0000-0000-0000A8000000}"/>
    <cellStyle name="20% - Énfasis5 13" xfId="666" xr:uid="{00000000-0005-0000-0000-0000A9000000}"/>
    <cellStyle name="20% - Énfasis5 14" xfId="253" xr:uid="{00000000-0005-0000-0000-0000AA000000}"/>
    <cellStyle name="20% - Énfasis5 15" xfId="680" xr:uid="{00000000-0005-0000-0000-0000AB000000}"/>
    <cellStyle name="20% - Énfasis5 16" xfId="697" xr:uid="{00000000-0005-0000-0000-0000AC000000}"/>
    <cellStyle name="20% - Énfasis5 17" xfId="717" xr:uid="{00000000-0005-0000-0000-0000AD000000}"/>
    <cellStyle name="20% - Énfasis5 2" xfId="69" xr:uid="{00000000-0005-0000-0000-0000AE000000}"/>
    <cellStyle name="20% - Énfasis5 2 2" xfId="505" xr:uid="{00000000-0005-0000-0000-0000AF000000}"/>
    <cellStyle name="20% - Énfasis5 2 3" xfId="277" xr:uid="{00000000-0005-0000-0000-0000B0000000}"/>
    <cellStyle name="20% - Énfasis5 2 4" xfId="733" xr:uid="{00000000-0005-0000-0000-0000B1000000}"/>
    <cellStyle name="20% - Énfasis5 3" xfId="90" xr:uid="{00000000-0005-0000-0000-0000B2000000}"/>
    <cellStyle name="20% - Énfasis5 3 2" xfId="519" xr:uid="{00000000-0005-0000-0000-0000B3000000}"/>
    <cellStyle name="20% - Énfasis5 3 3" xfId="298" xr:uid="{00000000-0005-0000-0000-0000B4000000}"/>
    <cellStyle name="20% - Énfasis5 3 4" xfId="777" xr:uid="{00000000-0005-0000-0000-0000B5000000}"/>
    <cellStyle name="20% - Énfasis5 4" xfId="110" xr:uid="{00000000-0005-0000-0000-0000B6000000}"/>
    <cellStyle name="20% - Énfasis5 4 2" xfId="536" xr:uid="{00000000-0005-0000-0000-0000B7000000}"/>
    <cellStyle name="20% - Énfasis5 4 3" xfId="318" xr:uid="{00000000-0005-0000-0000-0000B8000000}"/>
    <cellStyle name="20% - Énfasis5 5" xfId="130" xr:uid="{00000000-0005-0000-0000-0000B9000000}"/>
    <cellStyle name="20% - Énfasis5 5 2" xfId="556" xr:uid="{00000000-0005-0000-0000-0000BA000000}"/>
    <cellStyle name="20% - Énfasis5 5 3" xfId="338" xr:uid="{00000000-0005-0000-0000-0000BB000000}"/>
    <cellStyle name="20% - Énfasis5 6" xfId="145" xr:uid="{00000000-0005-0000-0000-0000BC000000}"/>
    <cellStyle name="20% - Énfasis5 6 2" xfId="571" xr:uid="{00000000-0005-0000-0000-0000BD000000}"/>
    <cellStyle name="20% - Énfasis5 6 3" xfId="353" xr:uid="{00000000-0005-0000-0000-0000BE000000}"/>
    <cellStyle name="20% - Énfasis5 7" xfId="163" xr:uid="{00000000-0005-0000-0000-0000BF000000}"/>
    <cellStyle name="20% - Énfasis5 7 2" xfId="589" xr:uid="{00000000-0005-0000-0000-0000C0000000}"/>
    <cellStyle name="20% - Énfasis5 7 3" xfId="371" xr:uid="{00000000-0005-0000-0000-0000C1000000}"/>
    <cellStyle name="20% - Énfasis5 8" xfId="179" xr:uid="{00000000-0005-0000-0000-0000C2000000}"/>
    <cellStyle name="20% - Énfasis5 8 2" xfId="605" xr:uid="{00000000-0005-0000-0000-0000C3000000}"/>
    <cellStyle name="20% - Énfasis5 8 3" xfId="387" xr:uid="{00000000-0005-0000-0000-0000C4000000}"/>
    <cellStyle name="20% - Énfasis5 9" xfId="193" xr:uid="{00000000-0005-0000-0000-0000C5000000}"/>
    <cellStyle name="20% - Énfasis5 9 2" xfId="619" xr:uid="{00000000-0005-0000-0000-0000C6000000}"/>
    <cellStyle name="20% - Énfasis5 9 3" xfId="401" xr:uid="{00000000-0005-0000-0000-0000C7000000}"/>
    <cellStyle name="20% - Énfasis6" xfId="39" builtinId="50" customBuiltin="1"/>
    <cellStyle name="20% - Énfasis6 10" xfId="210" xr:uid="{00000000-0005-0000-0000-0000C9000000}"/>
    <cellStyle name="20% - Énfasis6 10 2" xfId="635" xr:uid="{00000000-0005-0000-0000-0000CA000000}"/>
    <cellStyle name="20% - Énfasis6 10 3" xfId="417" xr:uid="{00000000-0005-0000-0000-0000CB000000}"/>
    <cellStyle name="20% - Énfasis6 11" xfId="224" xr:uid="{00000000-0005-0000-0000-0000CC000000}"/>
    <cellStyle name="20% - Énfasis6 11 2" xfId="649" xr:uid="{00000000-0005-0000-0000-0000CD000000}"/>
    <cellStyle name="20% - Énfasis6 11 3" xfId="432" xr:uid="{00000000-0005-0000-0000-0000CE000000}"/>
    <cellStyle name="20% - Énfasis6 12" xfId="238" xr:uid="{00000000-0005-0000-0000-0000CF000000}"/>
    <cellStyle name="20% - Énfasis6 12 2" xfId="463" xr:uid="{00000000-0005-0000-0000-0000D0000000}"/>
    <cellStyle name="20% - Énfasis6 13" xfId="668" xr:uid="{00000000-0005-0000-0000-0000D1000000}"/>
    <cellStyle name="20% - Énfasis6 14" xfId="256" xr:uid="{00000000-0005-0000-0000-0000D2000000}"/>
    <cellStyle name="20% - Énfasis6 15" xfId="682" xr:uid="{00000000-0005-0000-0000-0000D3000000}"/>
    <cellStyle name="20% - Énfasis6 16" xfId="700" xr:uid="{00000000-0005-0000-0000-0000D4000000}"/>
    <cellStyle name="20% - Énfasis6 17" xfId="720" xr:uid="{00000000-0005-0000-0000-0000D5000000}"/>
    <cellStyle name="20% - Énfasis6 2" xfId="72" xr:uid="{00000000-0005-0000-0000-0000D6000000}"/>
    <cellStyle name="20% - Énfasis6 2 2" xfId="507" xr:uid="{00000000-0005-0000-0000-0000D7000000}"/>
    <cellStyle name="20% - Énfasis6 2 3" xfId="280" xr:uid="{00000000-0005-0000-0000-0000D8000000}"/>
    <cellStyle name="20% - Énfasis6 2 4" xfId="735" xr:uid="{00000000-0005-0000-0000-0000D9000000}"/>
    <cellStyle name="20% - Énfasis6 3" xfId="93" xr:uid="{00000000-0005-0000-0000-0000DA000000}"/>
    <cellStyle name="20% - Énfasis6 3 2" xfId="521" xr:uid="{00000000-0005-0000-0000-0000DB000000}"/>
    <cellStyle name="20% - Énfasis6 3 3" xfId="301" xr:uid="{00000000-0005-0000-0000-0000DC000000}"/>
    <cellStyle name="20% - Énfasis6 3 4" xfId="780" xr:uid="{00000000-0005-0000-0000-0000DD000000}"/>
    <cellStyle name="20% - Énfasis6 4" xfId="113" xr:uid="{00000000-0005-0000-0000-0000DE000000}"/>
    <cellStyle name="20% - Énfasis6 4 2" xfId="539" xr:uid="{00000000-0005-0000-0000-0000DF000000}"/>
    <cellStyle name="20% - Énfasis6 4 3" xfId="321" xr:uid="{00000000-0005-0000-0000-0000E0000000}"/>
    <cellStyle name="20% - Énfasis6 5" xfId="133" xr:uid="{00000000-0005-0000-0000-0000E1000000}"/>
    <cellStyle name="20% - Énfasis6 5 2" xfId="559" xr:uid="{00000000-0005-0000-0000-0000E2000000}"/>
    <cellStyle name="20% - Énfasis6 5 3" xfId="341" xr:uid="{00000000-0005-0000-0000-0000E3000000}"/>
    <cellStyle name="20% - Énfasis6 6" xfId="147" xr:uid="{00000000-0005-0000-0000-0000E4000000}"/>
    <cellStyle name="20% - Énfasis6 6 2" xfId="573" xr:uid="{00000000-0005-0000-0000-0000E5000000}"/>
    <cellStyle name="20% - Énfasis6 6 3" xfId="355" xr:uid="{00000000-0005-0000-0000-0000E6000000}"/>
    <cellStyle name="20% - Énfasis6 7" xfId="166" xr:uid="{00000000-0005-0000-0000-0000E7000000}"/>
    <cellStyle name="20% - Énfasis6 7 2" xfId="592" xr:uid="{00000000-0005-0000-0000-0000E8000000}"/>
    <cellStyle name="20% - Énfasis6 7 3" xfId="374" xr:uid="{00000000-0005-0000-0000-0000E9000000}"/>
    <cellStyle name="20% - Énfasis6 8" xfId="181" xr:uid="{00000000-0005-0000-0000-0000EA000000}"/>
    <cellStyle name="20% - Énfasis6 8 2" xfId="607" xr:uid="{00000000-0005-0000-0000-0000EB000000}"/>
    <cellStyle name="20% - Énfasis6 8 3" xfId="389" xr:uid="{00000000-0005-0000-0000-0000EC000000}"/>
    <cellStyle name="20% - Énfasis6 9" xfId="195" xr:uid="{00000000-0005-0000-0000-0000ED000000}"/>
    <cellStyle name="20% - Énfasis6 9 2" xfId="621" xr:uid="{00000000-0005-0000-0000-0000EE000000}"/>
    <cellStyle name="20% - Énfasis6 9 3" xfId="403" xr:uid="{00000000-0005-0000-0000-0000EF000000}"/>
    <cellStyle name="40% - Énfasis1" xfId="20" builtinId="31" customBuiltin="1"/>
    <cellStyle name="40% - Énfasis1 10" xfId="201" xr:uid="{00000000-0005-0000-0000-0000F1000000}"/>
    <cellStyle name="40% - Énfasis1 10 2" xfId="626" xr:uid="{00000000-0005-0000-0000-0000F2000000}"/>
    <cellStyle name="40% - Énfasis1 10 3" xfId="408" xr:uid="{00000000-0005-0000-0000-0000F3000000}"/>
    <cellStyle name="40% - Énfasis1 11" xfId="215" xr:uid="{00000000-0005-0000-0000-0000F4000000}"/>
    <cellStyle name="40% - Énfasis1 11 2" xfId="640" xr:uid="{00000000-0005-0000-0000-0000F5000000}"/>
    <cellStyle name="40% - Énfasis1 11 3" xfId="423" xr:uid="{00000000-0005-0000-0000-0000F6000000}"/>
    <cellStyle name="40% - Énfasis1 12" xfId="229" xr:uid="{00000000-0005-0000-0000-0000F7000000}"/>
    <cellStyle name="40% - Énfasis1 12 2" xfId="454" xr:uid="{00000000-0005-0000-0000-0000F8000000}"/>
    <cellStyle name="40% - Énfasis1 13" xfId="659" xr:uid="{00000000-0005-0000-0000-0000F9000000}"/>
    <cellStyle name="40% - Énfasis1 14" xfId="242" xr:uid="{00000000-0005-0000-0000-0000FA000000}"/>
    <cellStyle name="40% - Énfasis1 15" xfId="673" xr:uid="{00000000-0005-0000-0000-0000FB000000}"/>
    <cellStyle name="40% - Énfasis1 16" xfId="686" xr:uid="{00000000-0005-0000-0000-0000FC000000}"/>
    <cellStyle name="40% - Énfasis1 17" xfId="706" xr:uid="{00000000-0005-0000-0000-0000FD000000}"/>
    <cellStyle name="40% - Énfasis1 2" xfId="58" xr:uid="{00000000-0005-0000-0000-0000FE000000}"/>
    <cellStyle name="40% - Énfasis1 2 2" xfId="498" xr:uid="{00000000-0005-0000-0000-0000FF000000}"/>
    <cellStyle name="40% - Énfasis1 2 3" xfId="266" xr:uid="{00000000-0005-0000-0000-000000010000}"/>
    <cellStyle name="40% - Énfasis1 2 4" xfId="726" xr:uid="{00000000-0005-0000-0000-000001010000}"/>
    <cellStyle name="40% - Énfasis1 3" xfId="79" xr:uid="{00000000-0005-0000-0000-000002010000}"/>
    <cellStyle name="40% - Énfasis1 3 2" xfId="512" xr:uid="{00000000-0005-0000-0000-000003010000}"/>
    <cellStyle name="40% - Énfasis1 3 3" xfId="287" xr:uid="{00000000-0005-0000-0000-000004010000}"/>
    <cellStyle name="40% - Énfasis1 3 4" xfId="766" xr:uid="{00000000-0005-0000-0000-000005010000}"/>
    <cellStyle name="40% - Énfasis1 4" xfId="99" xr:uid="{00000000-0005-0000-0000-000006010000}"/>
    <cellStyle name="40% - Énfasis1 4 2" xfId="525" xr:uid="{00000000-0005-0000-0000-000007010000}"/>
    <cellStyle name="40% - Énfasis1 4 3" xfId="307" xr:uid="{00000000-0005-0000-0000-000008010000}"/>
    <cellStyle name="40% - Énfasis1 5" xfId="119" xr:uid="{00000000-0005-0000-0000-000009010000}"/>
    <cellStyle name="40% - Énfasis1 5 2" xfId="545" xr:uid="{00000000-0005-0000-0000-00000A010000}"/>
    <cellStyle name="40% - Énfasis1 5 3" xfId="327" xr:uid="{00000000-0005-0000-0000-00000B010000}"/>
    <cellStyle name="40% - Énfasis1 6" xfId="138" xr:uid="{00000000-0005-0000-0000-00000C010000}"/>
    <cellStyle name="40% - Énfasis1 6 2" xfId="564" xr:uid="{00000000-0005-0000-0000-00000D010000}"/>
    <cellStyle name="40% - Énfasis1 6 3" xfId="346" xr:uid="{00000000-0005-0000-0000-00000E010000}"/>
    <cellStyle name="40% - Énfasis1 7" xfId="152" xr:uid="{00000000-0005-0000-0000-00000F010000}"/>
    <cellStyle name="40% - Énfasis1 7 2" xfId="578" xr:uid="{00000000-0005-0000-0000-000010010000}"/>
    <cellStyle name="40% - Énfasis1 7 3" xfId="360" xr:uid="{00000000-0005-0000-0000-000011010000}"/>
    <cellStyle name="40% - Énfasis1 8" xfId="172" xr:uid="{00000000-0005-0000-0000-000012010000}"/>
    <cellStyle name="40% - Énfasis1 8 2" xfId="598" xr:uid="{00000000-0005-0000-0000-000013010000}"/>
    <cellStyle name="40% - Énfasis1 8 3" xfId="380" xr:uid="{00000000-0005-0000-0000-000014010000}"/>
    <cellStyle name="40% - Énfasis1 9" xfId="186" xr:uid="{00000000-0005-0000-0000-000015010000}"/>
    <cellStyle name="40% - Énfasis1 9 2" xfId="612" xr:uid="{00000000-0005-0000-0000-000016010000}"/>
    <cellStyle name="40% - Énfasis1 9 3" xfId="394" xr:uid="{00000000-0005-0000-0000-000017010000}"/>
    <cellStyle name="40% - Énfasis2" xfId="24" builtinId="35" customBuiltin="1"/>
    <cellStyle name="40% - Énfasis2 10" xfId="203" xr:uid="{00000000-0005-0000-0000-000019010000}"/>
    <cellStyle name="40% - Énfasis2 10 2" xfId="628" xr:uid="{00000000-0005-0000-0000-00001A010000}"/>
    <cellStyle name="40% - Énfasis2 10 3" xfId="410" xr:uid="{00000000-0005-0000-0000-00001B010000}"/>
    <cellStyle name="40% - Énfasis2 11" xfId="217" xr:uid="{00000000-0005-0000-0000-00001C010000}"/>
    <cellStyle name="40% - Énfasis2 11 2" xfId="642" xr:uid="{00000000-0005-0000-0000-00001D010000}"/>
    <cellStyle name="40% - Énfasis2 11 3" xfId="425" xr:uid="{00000000-0005-0000-0000-00001E010000}"/>
    <cellStyle name="40% - Énfasis2 12" xfId="231" xr:uid="{00000000-0005-0000-0000-00001F010000}"/>
    <cellStyle name="40% - Énfasis2 12 2" xfId="456" xr:uid="{00000000-0005-0000-0000-000020010000}"/>
    <cellStyle name="40% - Énfasis2 13" xfId="661" xr:uid="{00000000-0005-0000-0000-000021010000}"/>
    <cellStyle name="40% - Énfasis2 14" xfId="245" xr:uid="{00000000-0005-0000-0000-000022010000}"/>
    <cellStyle name="40% - Énfasis2 15" xfId="675" xr:uid="{00000000-0005-0000-0000-000023010000}"/>
    <cellStyle name="40% - Énfasis2 16" xfId="689" xr:uid="{00000000-0005-0000-0000-000024010000}"/>
    <cellStyle name="40% - Énfasis2 17" xfId="709" xr:uid="{00000000-0005-0000-0000-000025010000}"/>
    <cellStyle name="40% - Énfasis2 2" xfId="61" xr:uid="{00000000-0005-0000-0000-000026010000}"/>
    <cellStyle name="40% - Énfasis2 2 2" xfId="500" xr:uid="{00000000-0005-0000-0000-000027010000}"/>
    <cellStyle name="40% - Énfasis2 2 3" xfId="269" xr:uid="{00000000-0005-0000-0000-000028010000}"/>
    <cellStyle name="40% - Énfasis2 2 4" xfId="728" xr:uid="{00000000-0005-0000-0000-000029010000}"/>
    <cellStyle name="40% - Énfasis2 3" xfId="82" xr:uid="{00000000-0005-0000-0000-00002A010000}"/>
    <cellStyle name="40% - Énfasis2 3 2" xfId="514" xr:uid="{00000000-0005-0000-0000-00002B010000}"/>
    <cellStyle name="40% - Énfasis2 3 3" xfId="290" xr:uid="{00000000-0005-0000-0000-00002C010000}"/>
    <cellStyle name="40% - Énfasis2 3 4" xfId="769" xr:uid="{00000000-0005-0000-0000-00002D010000}"/>
    <cellStyle name="40% - Énfasis2 4" xfId="102" xr:uid="{00000000-0005-0000-0000-00002E010000}"/>
    <cellStyle name="40% - Énfasis2 4 2" xfId="528" xr:uid="{00000000-0005-0000-0000-00002F010000}"/>
    <cellStyle name="40% - Énfasis2 4 3" xfId="310" xr:uid="{00000000-0005-0000-0000-000030010000}"/>
    <cellStyle name="40% - Énfasis2 5" xfId="122" xr:uid="{00000000-0005-0000-0000-000031010000}"/>
    <cellStyle name="40% - Énfasis2 5 2" xfId="548" xr:uid="{00000000-0005-0000-0000-000032010000}"/>
    <cellStyle name="40% - Énfasis2 5 3" xfId="330" xr:uid="{00000000-0005-0000-0000-000033010000}"/>
    <cellStyle name="40% - Énfasis2 6" xfId="140" xr:uid="{00000000-0005-0000-0000-000034010000}"/>
    <cellStyle name="40% - Énfasis2 6 2" xfId="566" xr:uid="{00000000-0005-0000-0000-000035010000}"/>
    <cellStyle name="40% - Énfasis2 6 3" xfId="348" xr:uid="{00000000-0005-0000-0000-000036010000}"/>
    <cellStyle name="40% - Énfasis2 7" xfId="155" xr:uid="{00000000-0005-0000-0000-000037010000}"/>
    <cellStyle name="40% - Énfasis2 7 2" xfId="581" xr:uid="{00000000-0005-0000-0000-000038010000}"/>
    <cellStyle name="40% - Énfasis2 7 3" xfId="363" xr:uid="{00000000-0005-0000-0000-000039010000}"/>
    <cellStyle name="40% - Énfasis2 8" xfId="174" xr:uid="{00000000-0005-0000-0000-00003A010000}"/>
    <cellStyle name="40% - Énfasis2 8 2" xfId="600" xr:uid="{00000000-0005-0000-0000-00003B010000}"/>
    <cellStyle name="40% - Énfasis2 8 3" xfId="382" xr:uid="{00000000-0005-0000-0000-00003C010000}"/>
    <cellStyle name="40% - Énfasis2 9" xfId="188" xr:uid="{00000000-0005-0000-0000-00003D010000}"/>
    <cellStyle name="40% - Énfasis2 9 2" xfId="614" xr:uid="{00000000-0005-0000-0000-00003E010000}"/>
    <cellStyle name="40% - Énfasis2 9 3" xfId="396" xr:uid="{00000000-0005-0000-0000-00003F010000}"/>
    <cellStyle name="40% - Énfasis3" xfId="28" builtinId="39" customBuiltin="1"/>
    <cellStyle name="40% - Énfasis3 10" xfId="205" xr:uid="{00000000-0005-0000-0000-000041010000}"/>
    <cellStyle name="40% - Énfasis3 10 2" xfId="630" xr:uid="{00000000-0005-0000-0000-000042010000}"/>
    <cellStyle name="40% - Énfasis3 10 3" xfId="412" xr:uid="{00000000-0005-0000-0000-000043010000}"/>
    <cellStyle name="40% - Énfasis3 11" xfId="219" xr:uid="{00000000-0005-0000-0000-000044010000}"/>
    <cellStyle name="40% - Énfasis3 11 2" xfId="644" xr:uid="{00000000-0005-0000-0000-000045010000}"/>
    <cellStyle name="40% - Énfasis3 11 3" xfId="427" xr:uid="{00000000-0005-0000-0000-000046010000}"/>
    <cellStyle name="40% - Énfasis3 12" xfId="233" xr:uid="{00000000-0005-0000-0000-000047010000}"/>
    <cellStyle name="40% - Énfasis3 12 2" xfId="458" xr:uid="{00000000-0005-0000-0000-000048010000}"/>
    <cellStyle name="40% - Énfasis3 13" xfId="663" xr:uid="{00000000-0005-0000-0000-000049010000}"/>
    <cellStyle name="40% - Énfasis3 14" xfId="248" xr:uid="{00000000-0005-0000-0000-00004A010000}"/>
    <cellStyle name="40% - Énfasis3 15" xfId="677" xr:uid="{00000000-0005-0000-0000-00004B010000}"/>
    <cellStyle name="40% - Énfasis3 16" xfId="692" xr:uid="{00000000-0005-0000-0000-00004C010000}"/>
    <cellStyle name="40% - Énfasis3 17" xfId="712" xr:uid="{00000000-0005-0000-0000-00004D010000}"/>
    <cellStyle name="40% - Énfasis3 2" xfId="64" xr:uid="{00000000-0005-0000-0000-00004E010000}"/>
    <cellStyle name="40% - Énfasis3 2 2" xfId="502" xr:uid="{00000000-0005-0000-0000-00004F010000}"/>
    <cellStyle name="40% - Énfasis3 2 3" xfId="272" xr:uid="{00000000-0005-0000-0000-000050010000}"/>
    <cellStyle name="40% - Énfasis3 2 4" xfId="730" xr:uid="{00000000-0005-0000-0000-000051010000}"/>
    <cellStyle name="40% - Énfasis3 3" xfId="85" xr:uid="{00000000-0005-0000-0000-000052010000}"/>
    <cellStyle name="40% - Énfasis3 3 2" xfId="516" xr:uid="{00000000-0005-0000-0000-000053010000}"/>
    <cellStyle name="40% - Énfasis3 3 3" xfId="293" xr:uid="{00000000-0005-0000-0000-000054010000}"/>
    <cellStyle name="40% - Énfasis3 3 4" xfId="772" xr:uid="{00000000-0005-0000-0000-000055010000}"/>
    <cellStyle name="40% - Énfasis3 4" xfId="105" xr:uid="{00000000-0005-0000-0000-000056010000}"/>
    <cellStyle name="40% - Énfasis3 4 2" xfId="531" xr:uid="{00000000-0005-0000-0000-000057010000}"/>
    <cellStyle name="40% - Énfasis3 4 3" xfId="313" xr:uid="{00000000-0005-0000-0000-000058010000}"/>
    <cellStyle name="40% - Énfasis3 5" xfId="125" xr:uid="{00000000-0005-0000-0000-000059010000}"/>
    <cellStyle name="40% - Énfasis3 5 2" xfId="551" xr:uid="{00000000-0005-0000-0000-00005A010000}"/>
    <cellStyle name="40% - Énfasis3 5 3" xfId="333" xr:uid="{00000000-0005-0000-0000-00005B010000}"/>
    <cellStyle name="40% - Énfasis3 6" xfId="142" xr:uid="{00000000-0005-0000-0000-00005C010000}"/>
    <cellStyle name="40% - Énfasis3 6 2" xfId="568" xr:uid="{00000000-0005-0000-0000-00005D010000}"/>
    <cellStyle name="40% - Énfasis3 6 3" xfId="350" xr:uid="{00000000-0005-0000-0000-00005E010000}"/>
    <cellStyle name="40% - Énfasis3 7" xfId="158" xr:uid="{00000000-0005-0000-0000-00005F010000}"/>
    <cellStyle name="40% - Énfasis3 7 2" xfId="584" xr:uid="{00000000-0005-0000-0000-000060010000}"/>
    <cellStyle name="40% - Énfasis3 7 3" xfId="366" xr:uid="{00000000-0005-0000-0000-000061010000}"/>
    <cellStyle name="40% - Énfasis3 8" xfId="176" xr:uid="{00000000-0005-0000-0000-000062010000}"/>
    <cellStyle name="40% - Énfasis3 8 2" xfId="602" xr:uid="{00000000-0005-0000-0000-000063010000}"/>
    <cellStyle name="40% - Énfasis3 8 3" xfId="384" xr:uid="{00000000-0005-0000-0000-000064010000}"/>
    <cellStyle name="40% - Énfasis3 9" xfId="190" xr:uid="{00000000-0005-0000-0000-000065010000}"/>
    <cellStyle name="40% - Énfasis3 9 2" xfId="616" xr:uid="{00000000-0005-0000-0000-000066010000}"/>
    <cellStyle name="40% - Énfasis3 9 3" xfId="398" xr:uid="{00000000-0005-0000-0000-000067010000}"/>
    <cellStyle name="40% - Énfasis4" xfId="32" builtinId="43" customBuiltin="1"/>
    <cellStyle name="40% - Énfasis4 10" xfId="207" xr:uid="{00000000-0005-0000-0000-000069010000}"/>
    <cellStyle name="40% - Énfasis4 10 2" xfId="632" xr:uid="{00000000-0005-0000-0000-00006A010000}"/>
    <cellStyle name="40% - Énfasis4 10 3" xfId="414" xr:uid="{00000000-0005-0000-0000-00006B010000}"/>
    <cellStyle name="40% - Énfasis4 11" xfId="221" xr:uid="{00000000-0005-0000-0000-00006C010000}"/>
    <cellStyle name="40% - Énfasis4 11 2" xfId="646" xr:uid="{00000000-0005-0000-0000-00006D010000}"/>
    <cellStyle name="40% - Énfasis4 11 3" xfId="429" xr:uid="{00000000-0005-0000-0000-00006E010000}"/>
    <cellStyle name="40% - Énfasis4 12" xfId="235" xr:uid="{00000000-0005-0000-0000-00006F010000}"/>
    <cellStyle name="40% - Énfasis4 12 2" xfId="460" xr:uid="{00000000-0005-0000-0000-000070010000}"/>
    <cellStyle name="40% - Énfasis4 13" xfId="665" xr:uid="{00000000-0005-0000-0000-000071010000}"/>
    <cellStyle name="40% - Énfasis4 14" xfId="251" xr:uid="{00000000-0005-0000-0000-000072010000}"/>
    <cellStyle name="40% - Énfasis4 15" xfId="679" xr:uid="{00000000-0005-0000-0000-000073010000}"/>
    <cellStyle name="40% - Énfasis4 16" xfId="695" xr:uid="{00000000-0005-0000-0000-000074010000}"/>
    <cellStyle name="40% - Énfasis4 17" xfId="715" xr:uid="{00000000-0005-0000-0000-000075010000}"/>
    <cellStyle name="40% - Énfasis4 2" xfId="67" xr:uid="{00000000-0005-0000-0000-000076010000}"/>
    <cellStyle name="40% - Énfasis4 2 2" xfId="504" xr:uid="{00000000-0005-0000-0000-000077010000}"/>
    <cellStyle name="40% - Énfasis4 2 3" xfId="275" xr:uid="{00000000-0005-0000-0000-000078010000}"/>
    <cellStyle name="40% - Énfasis4 2 4" xfId="732" xr:uid="{00000000-0005-0000-0000-000079010000}"/>
    <cellStyle name="40% - Énfasis4 3" xfId="88" xr:uid="{00000000-0005-0000-0000-00007A010000}"/>
    <cellStyle name="40% - Énfasis4 3 2" xfId="518" xr:uid="{00000000-0005-0000-0000-00007B010000}"/>
    <cellStyle name="40% - Énfasis4 3 3" xfId="296" xr:uid="{00000000-0005-0000-0000-00007C010000}"/>
    <cellStyle name="40% - Énfasis4 3 4" xfId="775" xr:uid="{00000000-0005-0000-0000-00007D010000}"/>
    <cellStyle name="40% - Énfasis4 4" xfId="108" xr:uid="{00000000-0005-0000-0000-00007E010000}"/>
    <cellStyle name="40% - Énfasis4 4 2" xfId="534" xr:uid="{00000000-0005-0000-0000-00007F010000}"/>
    <cellStyle name="40% - Énfasis4 4 3" xfId="316" xr:uid="{00000000-0005-0000-0000-000080010000}"/>
    <cellStyle name="40% - Énfasis4 5" xfId="128" xr:uid="{00000000-0005-0000-0000-000081010000}"/>
    <cellStyle name="40% - Énfasis4 5 2" xfId="554" xr:uid="{00000000-0005-0000-0000-000082010000}"/>
    <cellStyle name="40% - Énfasis4 5 3" xfId="336" xr:uid="{00000000-0005-0000-0000-000083010000}"/>
    <cellStyle name="40% - Énfasis4 6" xfId="144" xr:uid="{00000000-0005-0000-0000-000084010000}"/>
    <cellStyle name="40% - Énfasis4 6 2" xfId="570" xr:uid="{00000000-0005-0000-0000-000085010000}"/>
    <cellStyle name="40% - Énfasis4 6 3" xfId="352" xr:uid="{00000000-0005-0000-0000-000086010000}"/>
    <cellStyle name="40% - Énfasis4 7" xfId="161" xr:uid="{00000000-0005-0000-0000-000087010000}"/>
    <cellStyle name="40% - Énfasis4 7 2" xfId="587" xr:uid="{00000000-0005-0000-0000-000088010000}"/>
    <cellStyle name="40% - Énfasis4 7 3" xfId="369" xr:uid="{00000000-0005-0000-0000-000089010000}"/>
    <cellStyle name="40% - Énfasis4 8" xfId="178" xr:uid="{00000000-0005-0000-0000-00008A010000}"/>
    <cellStyle name="40% - Énfasis4 8 2" xfId="604" xr:uid="{00000000-0005-0000-0000-00008B010000}"/>
    <cellStyle name="40% - Énfasis4 8 3" xfId="386" xr:uid="{00000000-0005-0000-0000-00008C010000}"/>
    <cellStyle name="40% - Énfasis4 9" xfId="192" xr:uid="{00000000-0005-0000-0000-00008D010000}"/>
    <cellStyle name="40% - Énfasis4 9 2" xfId="618" xr:uid="{00000000-0005-0000-0000-00008E010000}"/>
    <cellStyle name="40% - Énfasis4 9 3" xfId="400" xr:uid="{00000000-0005-0000-0000-00008F010000}"/>
    <cellStyle name="40% - Énfasis5" xfId="36" builtinId="47" customBuiltin="1"/>
    <cellStyle name="40% - Énfasis5 10" xfId="209" xr:uid="{00000000-0005-0000-0000-000091010000}"/>
    <cellStyle name="40% - Énfasis5 10 2" xfId="634" xr:uid="{00000000-0005-0000-0000-000092010000}"/>
    <cellStyle name="40% - Énfasis5 10 3" xfId="416" xr:uid="{00000000-0005-0000-0000-000093010000}"/>
    <cellStyle name="40% - Énfasis5 11" xfId="223" xr:uid="{00000000-0005-0000-0000-000094010000}"/>
    <cellStyle name="40% - Énfasis5 11 2" xfId="648" xr:uid="{00000000-0005-0000-0000-000095010000}"/>
    <cellStyle name="40% - Énfasis5 11 3" xfId="431" xr:uid="{00000000-0005-0000-0000-000096010000}"/>
    <cellStyle name="40% - Énfasis5 12" xfId="237" xr:uid="{00000000-0005-0000-0000-000097010000}"/>
    <cellStyle name="40% - Énfasis5 12 2" xfId="462" xr:uid="{00000000-0005-0000-0000-000098010000}"/>
    <cellStyle name="40% - Énfasis5 13" xfId="667" xr:uid="{00000000-0005-0000-0000-000099010000}"/>
    <cellStyle name="40% - Énfasis5 14" xfId="254" xr:uid="{00000000-0005-0000-0000-00009A010000}"/>
    <cellStyle name="40% - Énfasis5 15" xfId="681" xr:uid="{00000000-0005-0000-0000-00009B010000}"/>
    <cellStyle name="40% - Énfasis5 16" xfId="698" xr:uid="{00000000-0005-0000-0000-00009C010000}"/>
    <cellStyle name="40% - Énfasis5 17" xfId="718" xr:uid="{00000000-0005-0000-0000-00009D010000}"/>
    <cellStyle name="40% - Énfasis5 2" xfId="70" xr:uid="{00000000-0005-0000-0000-00009E010000}"/>
    <cellStyle name="40% - Énfasis5 2 2" xfId="506" xr:uid="{00000000-0005-0000-0000-00009F010000}"/>
    <cellStyle name="40% - Énfasis5 2 3" xfId="278" xr:uid="{00000000-0005-0000-0000-0000A0010000}"/>
    <cellStyle name="40% - Énfasis5 2 4" xfId="734" xr:uid="{00000000-0005-0000-0000-0000A1010000}"/>
    <cellStyle name="40% - Énfasis5 3" xfId="91" xr:uid="{00000000-0005-0000-0000-0000A2010000}"/>
    <cellStyle name="40% - Énfasis5 3 2" xfId="520" xr:uid="{00000000-0005-0000-0000-0000A3010000}"/>
    <cellStyle name="40% - Énfasis5 3 3" xfId="299" xr:uid="{00000000-0005-0000-0000-0000A4010000}"/>
    <cellStyle name="40% - Énfasis5 3 4" xfId="778" xr:uid="{00000000-0005-0000-0000-0000A5010000}"/>
    <cellStyle name="40% - Énfasis5 4" xfId="111" xr:uid="{00000000-0005-0000-0000-0000A6010000}"/>
    <cellStyle name="40% - Énfasis5 4 2" xfId="537" xr:uid="{00000000-0005-0000-0000-0000A7010000}"/>
    <cellStyle name="40% - Énfasis5 4 3" xfId="319" xr:uid="{00000000-0005-0000-0000-0000A8010000}"/>
    <cellStyle name="40% - Énfasis5 5" xfId="131" xr:uid="{00000000-0005-0000-0000-0000A9010000}"/>
    <cellStyle name="40% - Énfasis5 5 2" xfId="557" xr:uid="{00000000-0005-0000-0000-0000AA010000}"/>
    <cellStyle name="40% - Énfasis5 5 3" xfId="339" xr:uid="{00000000-0005-0000-0000-0000AB010000}"/>
    <cellStyle name="40% - Énfasis5 6" xfId="146" xr:uid="{00000000-0005-0000-0000-0000AC010000}"/>
    <cellStyle name="40% - Énfasis5 6 2" xfId="572" xr:uid="{00000000-0005-0000-0000-0000AD010000}"/>
    <cellStyle name="40% - Énfasis5 6 3" xfId="354" xr:uid="{00000000-0005-0000-0000-0000AE010000}"/>
    <cellStyle name="40% - Énfasis5 7" xfId="164" xr:uid="{00000000-0005-0000-0000-0000AF010000}"/>
    <cellStyle name="40% - Énfasis5 7 2" xfId="590" xr:uid="{00000000-0005-0000-0000-0000B0010000}"/>
    <cellStyle name="40% - Énfasis5 7 3" xfId="372" xr:uid="{00000000-0005-0000-0000-0000B1010000}"/>
    <cellStyle name="40% - Énfasis5 8" xfId="180" xr:uid="{00000000-0005-0000-0000-0000B2010000}"/>
    <cellStyle name="40% - Énfasis5 8 2" xfId="606" xr:uid="{00000000-0005-0000-0000-0000B3010000}"/>
    <cellStyle name="40% - Énfasis5 8 3" xfId="388" xr:uid="{00000000-0005-0000-0000-0000B4010000}"/>
    <cellStyle name="40% - Énfasis5 9" xfId="194" xr:uid="{00000000-0005-0000-0000-0000B5010000}"/>
    <cellStyle name="40% - Énfasis5 9 2" xfId="620" xr:uid="{00000000-0005-0000-0000-0000B6010000}"/>
    <cellStyle name="40% - Énfasis5 9 3" xfId="402" xr:uid="{00000000-0005-0000-0000-0000B7010000}"/>
    <cellStyle name="40% - Énfasis6" xfId="40" builtinId="51" customBuiltin="1"/>
    <cellStyle name="40% - Énfasis6 10" xfId="211" xr:uid="{00000000-0005-0000-0000-0000B9010000}"/>
    <cellStyle name="40% - Énfasis6 10 2" xfId="636" xr:uid="{00000000-0005-0000-0000-0000BA010000}"/>
    <cellStyle name="40% - Énfasis6 10 3" xfId="418" xr:uid="{00000000-0005-0000-0000-0000BB010000}"/>
    <cellStyle name="40% - Énfasis6 11" xfId="225" xr:uid="{00000000-0005-0000-0000-0000BC010000}"/>
    <cellStyle name="40% - Énfasis6 11 2" xfId="650" xr:uid="{00000000-0005-0000-0000-0000BD010000}"/>
    <cellStyle name="40% - Énfasis6 11 3" xfId="433" xr:uid="{00000000-0005-0000-0000-0000BE010000}"/>
    <cellStyle name="40% - Énfasis6 12" xfId="239" xr:uid="{00000000-0005-0000-0000-0000BF010000}"/>
    <cellStyle name="40% - Énfasis6 12 2" xfId="464" xr:uid="{00000000-0005-0000-0000-0000C0010000}"/>
    <cellStyle name="40% - Énfasis6 13" xfId="669" xr:uid="{00000000-0005-0000-0000-0000C1010000}"/>
    <cellStyle name="40% - Énfasis6 14" xfId="257" xr:uid="{00000000-0005-0000-0000-0000C2010000}"/>
    <cellStyle name="40% - Énfasis6 15" xfId="683" xr:uid="{00000000-0005-0000-0000-0000C3010000}"/>
    <cellStyle name="40% - Énfasis6 16" xfId="701" xr:uid="{00000000-0005-0000-0000-0000C4010000}"/>
    <cellStyle name="40% - Énfasis6 17" xfId="721" xr:uid="{00000000-0005-0000-0000-0000C5010000}"/>
    <cellStyle name="40% - Énfasis6 2" xfId="73" xr:uid="{00000000-0005-0000-0000-0000C6010000}"/>
    <cellStyle name="40% - Énfasis6 2 2" xfId="508" xr:uid="{00000000-0005-0000-0000-0000C7010000}"/>
    <cellStyle name="40% - Énfasis6 2 3" xfId="281" xr:uid="{00000000-0005-0000-0000-0000C8010000}"/>
    <cellStyle name="40% - Énfasis6 2 4" xfId="736" xr:uid="{00000000-0005-0000-0000-0000C9010000}"/>
    <cellStyle name="40% - Énfasis6 3" xfId="94" xr:uid="{00000000-0005-0000-0000-0000CA010000}"/>
    <cellStyle name="40% - Énfasis6 3 2" xfId="522" xr:uid="{00000000-0005-0000-0000-0000CB010000}"/>
    <cellStyle name="40% - Énfasis6 3 3" xfId="302" xr:uid="{00000000-0005-0000-0000-0000CC010000}"/>
    <cellStyle name="40% - Énfasis6 3 4" xfId="781" xr:uid="{00000000-0005-0000-0000-0000CD010000}"/>
    <cellStyle name="40% - Énfasis6 4" xfId="114" xr:uid="{00000000-0005-0000-0000-0000CE010000}"/>
    <cellStyle name="40% - Énfasis6 4 2" xfId="540" xr:uid="{00000000-0005-0000-0000-0000CF010000}"/>
    <cellStyle name="40% - Énfasis6 4 3" xfId="322" xr:uid="{00000000-0005-0000-0000-0000D0010000}"/>
    <cellStyle name="40% - Énfasis6 5" xfId="134" xr:uid="{00000000-0005-0000-0000-0000D1010000}"/>
    <cellStyle name="40% - Énfasis6 5 2" xfId="560" xr:uid="{00000000-0005-0000-0000-0000D2010000}"/>
    <cellStyle name="40% - Énfasis6 5 3" xfId="342" xr:uid="{00000000-0005-0000-0000-0000D3010000}"/>
    <cellStyle name="40% - Énfasis6 6" xfId="148" xr:uid="{00000000-0005-0000-0000-0000D4010000}"/>
    <cellStyle name="40% - Énfasis6 6 2" xfId="574" xr:uid="{00000000-0005-0000-0000-0000D5010000}"/>
    <cellStyle name="40% - Énfasis6 6 3" xfId="356" xr:uid="{00000000-0005-0000-0000-0000D6010000}"/>
    <cellStyle name="40% - Énfasis6 7" xfId="167" xr:uid="{00000000-0005-0000-0000-0000D7010000}"/>
    <cellStyle name="40% - Énfasis6 7 2" xfId="593" xr:uid="{00000000-0005-0000-0000-0000D8010000}"/>
    <cellStyle name="40% - Énfasis6 7 3" xfId="375" xr:uid="{00000000-0005-0000-0000-0000D9010000}"/>
    <cellStyle name="40% - Énfasis6 8" xfId="182" xr:uid="{00000000-0005-0000-0000-0000DA010000}"/>
    <cellStyle name="40% - Énfasis6 8 2" xfId="608" xr:uid="{00000000-0005-0000-0000-0000DB010000}"/>
    <cellStyle name="40% - Énfasis6 8 3" xfId="390" xr:uid="{00000000-0005-0000-0000-0000DC010000}"/>
    <cellStyle name="40% - Énfasis6 9" xfId="196" xr:uid="{00000000-0005-0000-0000-0000DD010000}"/>
    <cellStyle name="40% - Énfasis6 9 2" xfId="622" xr:uid="{00000000-0005-0000-0000-0000DE010000}"/>
    <cellStyle name="40% - Énfasis6 9 3" xfId="404" xr:uid="{00000000-0005-0000-0000-0000DF010000}"/>
    <cellStyle name="60% - Énfasis1" xfId="21" builtinId="32" customBuiltin="1"/>
    <cellStyle name="60% - Énfasis1 10" xfId="707" xr:uid="{00000000-0005-0000-0000-0000E1010000}"/>
    <cellStyle name="60% - Énfasis1 2" xfId="47" xr:uid="{00000000-0005-0000-0000-0000E2010000}"/>
    <cellStyle name="60% - Énfasis1 3" xfId="59" xr:uid="{00000000-0005-0000-0000-0000E3010000}"/>
    <cellStyle name="60% - Énfasis1 3 2" xfId="436" xr:uid="{00000000-0005-0000-0000-0000E4010000}"/>
    <cellStyle name="60% - Énfasis1 3 2 2" xfId="651" xr:uid="{00000000-0005-0000-0000-0000E5010000}"/>
    <cellStyle name="60% - Énfasis1 3 3" xfId="480" xr:uid="{00000000-0005-0000-0000-0000E6010000}"/>
    <cellStyle name="60% - Énfasis1 3 4" xfId="267" xr:uid="{00000000-0005-0000-0000-0000E7010000}"/>
    <cellStyle name="60% - Énfasis1 3 5" xfId="767" xr:uid="{00000000-0005-0000-0000-0000E8010000}"/>
    <cellStyle name="60% - Énfasis1 4" xfId="80" xr:uid="{00000000-0005-0000-0000-0000E9010000}"/>
    <cellStyle name="60% - Énfasis1 4 2" xfId="468" xr:uid="{00000000-0005-0000-0000-0000EA010000}"/>
    <cellStyle name="60% - Énfasis1 4 3" xfId="288" xr:uid="{00000000-0005-0000-0000-0000EB010000}"/>
    <cellStyle name="60% - Énfasis1 5" xfId="100" xr:uid="{00000000-0005-0000-0000-0000EC010000}"/>
    <cellStyle name="60% - Énfasis1 5 2" xfId="526" xr:uid="{00000000-0005-0000-0000-0000ED010000}"/>
    <cellStyle name="60% - Énfasis1 5 3" xfId="308" xr:uid="{00000000-0005-0000-0000-0000EE010000}"/>
    <cellStyle name="60% - Énfasis1 6" xfId="120" xr:uid="{00000000-0005-0000-0000-0000EF010000}"/>
    <cellStyle name="60% - Énfasis1 6 2" xfId="546" xr:uid="{00000000-0005-0000-0000-0000F0010000}"/>
    <cellStyle name="60% - Énfasis1 6 3" xfId="328" xr:uid="{00000000-0005-0000-0000-0000F1010000}"/>
    <cellStyle name="60% - Énfasis1 7" xfId="153" xr:uid="{00000000-0005-0000-0000-0000F2010000}"/>
    <cellStyle name="60% - Énfasis1 7 2" xfId="579" xr:uid="{00000000-0005-0000-0000-0000F3010000}"/>
    <cellStyle name="60% - Énfasis1 7 3" xfId="361" xr:uid="{00000000-0005-0000-0000-0000F4010000}"/>
    <cellStyle name="60% - Énfasis1 8" xfId="243" xr:uid="{00000000-0005-0000-0000-0000F5010000}"/>
    <cellStyle name="60% - Énfasis1 9" xfId="687" xr:uid="{00000000-0005-0000-0000-0000F6010000}"/>
    <cellStyle name="60% - Énfasis2" xfId="25" builtinId="36" customBuiltin="1"/>
    <cellStyle name="60% - Énfasis2 10" xfId="710" xr:uid="{00000000-0005-0000-0000-0000F8010000}"/>
    <cellStyle name="60% - Énfasis2 2" xfId="48" xr:uid="{00000000-0005-0000-0000-0000F9010000}"/>
    <cellStyle name="60% - Énfasis2 3" xfId="62" xr:uid="{00000000-0005-0000-0000-0000FA010000}"/>
    <cellStyle name="60% - Énfasis2 3 2" xfId="437" xr:uid="{00000000-0005-0000-0000-0000FB010000}"/>
    <cellStyle name="60% - Énfasis2 3 2 2" xfId="652" xr:uid="{00000000-0005-0000-0000-0000FC010000}"/>
    <cellStyle name="60% - Énfasis2 3 3" xfId="481" xr:uid="{00000000-0005-0000-0000-0000FD010000}"/>
    <cellStyle name="60% - Énfasis2 3 4" xfId="270" xr:uid="{00000000-0005-0000-0000-0000FE010000}"/>
    <cellStyle name="60% - Énfasis2 3 5" xfId="770" xr:uid="{00000000-0005-0000-0000-0000FF010000}"/>
    <cellStyle name="60% - Énfasis2 4" xfId="83" xr:uid="{00000000-0005-0000-0000-000000020000}"/>
    <cellStyle name="60% - Énfasis2 4 2" xfId="469" xr:uid="{00000000-0005-0000-0000-000001020000}"/>
    <cellStyle name="60% - Énfasis2 4 3" xfId="291" xr:uid="{00000000-0005-0000-0000-000002020000}"/>
    <cellStyle name="60% - Énfasis2 5" xfId="103" xr:uid="{00000000-0005-0000-0000-000003020000}"/>
    <cellStyle name="60% - Énfasis2 5 2" xfId="529" xr:uid="{00000000-0005-0000-0000-000004020000}"/>
    <cellStyle name="60% - Énfasis2 5 3" xfId="311" xr:uid="{00000000-0005-0000-0000-000005020000}"/>
    <cellStyle name="60% - Énfasis2 6" xfId="123" xr:uid="{00000000-0005-0000-0000-000006020000}"/>
    <cellStyle name="60% - Énfasis2 6 2" xfId="549" xr:uid="{00000000-0005-0000-0000-000007020000}"/>
    <cellStyle name="60% - Énfasis2 6 3" xfId="331" xr:uid="{00000000-0005-0000-0000-000008020000}"/>
    <cellStyle name="60% - Énfasis2 7" xfId="156" xr:uid="{00000000-0005-0000-0000-000009020000}"/>
    <cellStyle name="60% - Énfasis2 7 2" xfId="582" xr:uid="{00000000-0005-0000-0000-00000A020000}"/>
    <cellStyle name="60% - Énfasis2 7 3" xfId="364" xr:uid="{00000000-0005-0000-0000-00000B020000}"/>
    <cellStyle name="60% - Énfasis2 8" xfId="246" xr:uid="{00000000-0005-0000-0000-00000C020000}"/>
    <cellStyle name="60% - Énfasis2 9" xfId="690" xr:uid="{00000000-0005-0000-0000-00000D020000}"/>
    <cellStyle name="60% - Énfasis3" xfId="29" builtinId="40" customBuiltin="1"/>
    <cellStyle name="60% - Énfasis3 10" xfId="713" xr:uid="{00000000-0005-0000-0000-00000F020000}"/>
    <cellStyle name="60% - Énfasis3 2" xfId="49" xr:uid="{00000000-0005-0000-0000-000010020000}"/>
    <cellStyle name="60% - Énfasis3 3" xfId="65" xr:uid="{00000000-0005-0000-0000-000011020000}"/>
    <cellStyle name="60% - Énfasis3 3 2" xfId="438" xr:uid="{00000000-0005-0000-0000-000012020000}"/>
    <cellStyle name="60% - Énfasis3 3 2 2" xfId="653" xr:uid="{00000000-0005-0000-0000-000013020000}"/>
    <cellStyle name="60% - Énfasis3 3 3" xfId="482" xr:uid="{00000000-0005-0000-0000-000014020000}"/>
    <cellStyle name="60% - Énfasis3 3 4" xfId="273" xr:uid="{00000000-0005-0000-0000-000015020000}"/>
    <cellStyle name="60% - Énfasis3 3 5" xfId="773" xr:uid="{00000000-0005-0000-0000-000016020000}"/>
    <cellStyle name="60% - Énfasis3 4" xfId="86" xr:uid="{00000000-0005-0000-0000-000017020000}"/>
    <cellStyle name="60% - Énfasis3 4 2" xfId="470" xr:uid="{00000000-0005-0000-0000-000018020000}"/>
    <cellStyle name="60% - Énfasis3 4 3" xfId="294" xr:uid="{00000000-0005-0000-0000-000019020000}"/>
    <cellStyle name="60% - Énfasis3 5" xfId="106" xr:uid="{00000000-0005-0000-0000-00001A020000}"/>
    <cellStyle name="60% - Énfasis3 5 2" xfId="532" xr:uid="{00000000-0005-0000-0000-00001B020000}"/>
    <cellStyle name="60% - Énfasis3 5 3" xfId="314" xr:uid="{00000000-0005-0000-0000-00001C020000}"/>
    <cellStyle name="60% - Énfasis3 6" xfId="126" xr:uid="{00000000-0005-0000-0000-00001D020000}"/>
    <cellStyle name="60% - Énfasis3 6 2" xfId="552" xr:uid="{00000000-0005-0000-0000-00001E020000}"/>
    <cellStyle name="60% - Énfasis3 6 3" xfId="334" xr:uid="{00000000-0005-0000-0000-00001F020000}"/>
    <cellStyle name="60% - Énfasis3 7" xfId="159" xr:uid="{00000000-0005-0000-0000-000020020000}"/>
    <cellStyle name="60% - Énfasis3 7 2" xfId="585" xr:uid="{00000000-0005-0000-0000-000021020000}"/>
    <cellStyle name="60% - Énfasis3 7 3" xfId="367" xr:uid="{00000000-0005-0000-0000-000022020000}"/>
    <cellStyle name="60% - Énfasis3 8" xfId="249" xr:uid="{00000000-0005-0000-0000-000023020000}"/>
    <cellStyle name="60% - Énfasis3 9" xfId="693" xr:uid="{00000000-0005-0000-0000-000024020000}"/>
    <cellStyle name="60% - Énfasis4" xfId="33" builtinId="44" customBuiltin="1"/>
    <cellStyle name="60% - Énfasis4 10" xfId="716" xr:uid="{00000000-0005-0000-0000-000026020000}"/>
    <cellStyle name="60% - Énfasis4 2" xfId="50" xr:uid="{00000000-0005-0000-0000-000027020000}"/>
    <cellStyle name="60% - Énfasis4 3" xfId="68" xr:uid="{00000000-0005-0000-0000-000028020000}"/>
    <cellStyle name="60% - Énfasis4 3 2" xfId="439" xr:uid="{00000000-0005-0000-0000-000029020000}"/>
    <cellStyle name="60% - Énfasis4 3 2 2" xfId="654" xr:uid="{00000000-0005-0000-0000-00002A020000}"/>
    <cellStyle name="60% - Énfasis4 3 3" xfId="483" xr:uid="{00000000-0005-0000-0000-00002B020000}"/>
    <cellStyle name="60% - Énfasis4 3 4" xfId="276" xr:uid="{00000000-0005-0000-0000-00002C020000}"/>
    <cellStyle name="60% - Énfasis4 3 5" xfId="776" xr:uid="{00000000-0005-0000-0000-00002D020000}"/>
    <cellStyle name="60% - Énfasis4 4" xfId="89" xr:uid="{00000000-0005-0000-0000-00002E020000}"/>
    <cellStyle name="60% - Énfasis4 4 2" xfId="471" xr:uid="{00000000-0005-0000-0000-00002F020000}"/>
    <cellStyle name="60% - Énfasis4 4 3" xfId="297" xr:uid="{00000000-0005-0000-0000-000030020000}"/>
    <cellStyle name="60% - Énfasis4 5" xfId="109" xr:uid="{00000000-0005-0000-0000-000031020000}"/>
    <cellStyle name="60% - Énfasis4 5 2" xfId="535" xr:uid="{00000000-0005-0000-0000-000032020000}"/>
    <cellStyle name="60% - Énfasis4 5 3" xfId="317" xr:uid="{00000000-0005-0000-0000-000033020000}"/>
    <cellStyle name="60% - Énfasis4 6" xfId="129" xr:uid="{00000000-0005-0000-0000-000034020000}"/>
    <cellStyle name="60% - Énfasis4 6 2" xfId="555" xr:uid="{00000000-0005-0000-0000-000035020000}"/>
    <cellStyle name="60% - Énfasis4 6 3" xfId="337" xr:uid="{00000000-0005-0000-0000-000036020000}"/>
    <cellStyle name="60% - Énfasis4 7" xfId="162" xr:uid="{00000000-0005-0000-0000-000037020000}"/>
    <cellStyle name="60% - Énfasis4 7 2" xfId="588" xr:uid="{00000000-0005-0000-0000-000038020000}"/>
    <cellStyle name="60% - Énfasis4 7 3" xfId="370" xr:uid="{00000000-0005-0000-0000-000039020000}"/>
    <cellStyle name="60% - Énfasis4 8" xfId="252" xr:uid="{00000000-0005-0000-0000-00003A020000}"/>
    <cellStyle name="60% - Énfasis4 9" xfId="696" xr:uid="{00000000-0005-0000-0000-00003B020000}"/>
    <cellStyle name="60% - Énfasis5" xfId="37" builtinId="48" customBuiltin="1"/>
    <cellStyle name="60% - Énfasis5 10" xfId="719" xr:uid="{00000000-0005-0000-0000-00003D020000}"/>
    <cellStyle name="60% - Énfasis5 2" xfId="51" xr:uid="{00000000-0005-0000-0000-00003E020000}"/>
    <cellStyle name="60% - Énfasis5 3" xfId="71" xr:uid="{00000000-0005-0000-0000-00003F020000}"/>
    <cellStyle name="60% - Énfasis5 3 2" xfId="440" xr:uid="{00000000-0005-0000-0000-000040020000}"/>
    <cellStyle name="60% - Énfasis5 3 2 2" xfId="655" xr:uid="{00000000-0005-0000-0000-000041020000}"/>
    <cellStyle name="60% - Énfasis5 3 3" xfId="484" xr:uid="{00000000-0005-0000-0000-000042020000}"/>
    <cellStyle name="60% - Énfasis5 3 4" xfId="279" xr:uid="{00000000-0005-0000-0000-000043020000}"/>
    <cellStyle name="60% - Énfasis5 3 5" xfId="779" xr:uid="{00000000-0005-0000-0000-000044020000}"/>
    <cellStyle name="60% - Énfasis5 4" xfId="92" xr:uid="{00000000-0005-0000-0000-000045020000}"/>
    <cellStyle name="60% - Énfasis5 4 2" xfId="472" xr:uid="{00000000-0005-0000-0000-000046020000}"/>
    <cellStyle name="60% - Énfasis5 4 3" xfId="300" xr:uid="{00000000-0005-0000-0000-000047020000}"/>
    <cellStyle name="60% - Énfasis5 5" xfId="112" xr:uid="{00000000-0005-0000-0000-000048020000}"/>
    <cellStyle name="60% - Énfasis5 5 2" xfId="538" xr:uid="{00000000-0005-0000-0000-000049020000}"/>
    <cellStyle name="60% - Énfasis5 5 3" xfId="320" xr:uid="{00000000-0005-0000-0000-00004A020000}"/>
    <cellStyle name="60% - Énfasis5 6" xfId="132" xr:uid="{00000000-0005-0000-0000-00004B020000}"/>
    <cellStyle name="60% - Énfasis5 6 2" xfId="558" xr:uid="{00000000-0005-0000-0000-00004C020000}"/>
    <cellStyle name="60% - Énfasis5 6 3" xfId="340" xr:uid="{00000000-0005-0000-0000-00004D020000}"/>
    <cellStyle name="60% - Énfasis5 7" xfId="165" xr:uid="{00000000-0005-0000-0000-00004E020000}"/>
    <cellStyle name="60% - Énfasis5 7 2" xfId="591" xr:uid="{00000000-0005-0000-0000-00004F020000}"/>
    <cellStyle name="60% - Énfasis5 7 3" xfId="373" xr:uid="{00000000-0005-0000-0000-000050020000}"/>
    <cellStyle name="60% - Énfasis5 8" xfId="255" xr:uid="{00000000-0005-0000-0000-000051020000}"/>
    <cellStyle name="60% - Énfasis5 9" xfId="699" xr:uid="{00000000-0005-0000-0000-000052020000}"/>
    <cellStyle name="60% - Énfasis6" xfId="41" builtinId="52" customBuiltin="1"/>
    <cellStyle name="60% - Énfasis6 10" xfId="722" xr:uid="{00000000-0005-0000-0000-000054020000}"/>
    <cellStyle name="60% - Énfasis6 2" xfId="52" xr:uid="{00000000-0005-0000-0000-000055020000}"/>
    <cellStyle name="60% - Énfasis6 3" xfId="74" xr:uid="{00000000-0005-0000-0000-000056020000}"/>
    <cellStyle name="60% - Énfasis6 3 2" xfId="441" xr:uid="{00000000-0005-0000-0000-000057020000}"/>
    <cellStyle name="60% - Énfasis6 3 2 2" xfId="656" xr:uid="{00000000-0005-0000-0000-000058020000}"/>
    <cellStyle name="60% - Énfasis6 3 3" xfId="485" xr:uid="{00000000-0005-0000-0000-000059020000}"/>
    <cellStyle name="60% - Énfasis6 3 4" xfId="282" xr:uid="{00000000-0005-0000-0000-00005A020000}"/>
    <cellStyle name="60% - Énfasis6 3 5" xfId="782" xr:uid="{00000000-0005-0000-0000-00005B020000}"/>
    <cellStyle name="60% - Énfasis6 4" xfId="95" xr:uid="{00000000-0005-0000-0000-00005C020000}"/>
    <cellStyle name="60% - Énfasis6 4 2" xfId="473" xr:uid="{00000000-0005-0000-0000-00005D020000}"/>
    <cellStyle name="60% - Énfasis6 4 3" xfId="303" xr:uid="{00000000-0005-0000-0000-00005E020000}"/>
    <cellStyle name="60% - Énfasis6 5" xfId="115" xr:uid="{00000000-0005-0000-0000-00005F020000}"/>
    <cellStyle name="60% - Énfasis6 5 2" xfId="541" xr:uid="{00000000-0005-0000-0000-000060020000}"/>
    <cellStyle name="60% - Énfasis6 5 3" xfId="323" xr:uid="{00000000-0005-0000-0000-000061020000}"/>
    <cellStyle name="60% - Énfasis6 6" xfId="135" xr:uid="{00000000-0005-0000-0000-000062020000}"/>
    <cellStyle name="60% - Énfasis6 6 2" xfId="561" xr:uid="{00000000-0005-0000-0000-000063020000}"/>
    <cellStyle name="60% - Énfasis6 6 3" xfId="343" xr:uid="{00000000-0005-0000-0000-000064020000}"/>
    <cellStyle name="60% - Énfasis6 7" xfId="168" xr:uid="{00000000-0005-0000-0000-000065020000}"/>
    <cellStyle name="60% - Énfasis6 7 2" xfId="594" xr:uid="{00000000-0005-0000-0000-000066020000}"/>
    <cellStyle name="60% - Énfasis6 7 3" xfId="376" xr:uid="{00000000-0005-0000-0000-000067020000}"/>
    <cellStyle name="60% - Énfasis6 8" xfId="258" xr:uid="{00000000-0005-0000-0000-000068020000}"/>
    <cellStyle name="60% - Énfasis6 9" xfId="702" xr:uid="{00000000-0005-0000-0000-000069020000}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Comma 2" xfId="444" xr:uid="{00000000-0005-0000-0000-00006E020000}"/>
    <cellStyle name="Encabezado 1" xfId="3" builtinId="16" customBuiltin="1"/>
    <cellStyle name="Encabezado 4" xfId="6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10" builtinId="20" customBuiltin="1"/>
    <cellStyle name="Incorrecto" xfId="8" builtinId="27" customBuiltin="1"/>
    <cellStyle name="Millares" xfId="75" builtinId="3"/>
    <cellStyle name="Millares 2" xfId="442" xr:uid="{00000000-0005-0000-0000-00007A020000}"/>
    <cellStyle name="Millares 2 2" xfId="486" xr:uid="{00000000-0005-0000-0000-00007B020000}"/>
    <cellStyle name="Millares 2 3" xfId="474" xr:uid="{00000000-0005-0000-0000-00007C020000}"/>
    <cellStyle name="Millares 2 4" xfId="795" xr:uid="{00000000-0005-0000-0000-00007D020000}"/>
    <cellStyle name="Millares 3" xfId="443" xr:uid="{00000000-0005-0000-0000-00007E020000}"/>
    <cellStyle name="Millares 3 2" xfId="487" xr:uid="{00000000-0005-0000-0000-00007F020000}"/>
    <cellStyle name="Millares 3 3" xfId="475" xr:uid="{00000000-0005-0000-0000-000080020000}"/>
    <cellStyle name="Millares 4" xfId="446" xr:uid="{00000000-0005-0000-0000-000081020000}"/>
    <cellStyle name="Millares 4 2" xfId="489" xr:uid="{00000000-0005-0000-0000-000082020000}"/>
    <cellStyle name="Millares 4 3" xfId="477" xr:uid="{00000000-0005-0000-0000-000083020000}"/>
    <cellStyle name="Millares 5" xfId="434" xr:uid="{00000000-0005-0000-0000-000084020000}"/>
    <cellStyle name="Millares 5 2" xfId="479" xr:uid="{00000000-0005-0000-0000-000085020000}"/>
    <cellStyle name="Millares 6" xfId="465" xr:uid="{00000000-0005-0000-0000-000086020000}"/>
    <cellStyle name="Millares 7" xfId="509" xr:uid="{00000000-0005-0000-0000-000087020000}"/>
    <cellStyle name="Millares 8" xfId="283" xr:uid="{00000000-0005-0000-0000-000088020000}"/>
    <cellStyle name="Millares 9" xfId="746" xr:uid="{00000000-0005-0000-0000-000089020000}"/>
    <cellStyle name="Moneda 2" xfId="445" xr:uid="{00000000-0005-0000-0000-00008A020000}"/>
    <cellStyle name="Moneda 2 2" xfId="488" xr:uid="{00000000-0005-0000-0000-00008B020000}"/>
    <cellStyle name="Moneda 2 3" xfId="476" xr:uid="{00000000-0005-0000-0000-00008C020000}"/>
    <cellStyle name="Moneda 3" xfId="447" xr:uid="{00000000-0005-0000-0000-00008D020000}"/>
    <cellStyle name="Moneda 3 2" xfId="490" xr:uid="{00000000-0005-0000-0000-00008E020000}"/>
    <cellStyle name="Moneda 3 3" xfId="478" xr:uid="{00000000-0005-0000-0000-00008F020000}"/>
    <cellStyle name="Neutral" xfId="9" builtinId="28" customBuiltin="1"/>
    <cellStyle name="Neutral 2" xfId="46" xr:uid="{00000000-0005-0000-0000-000091020000}"/>
    <cellStyle name="Neutral 3" xfId="435" xr:uid="{00000000-0005-0000-0000-000092020000}"/>
    <cellStyle name="Neutral 4" xfId="466" xr:uid="{00000000-0005-0000-0000-000093020000}"/>
    <cellStyle name="Normal" xfId="0" builtinId="0"/>
    <cellStyle name="Normal 10" xfId="149" xr:uid="{00000000-0005-0000-0000-000095020000}"/>
    <cellStyle name="Normal 10 2" xfId="575" xr:uid="{00000000-0005-0000-0000-000096020000}"/>
    <cellStyle name="Normal 10 3" xfId="357" xr:uid="{00000000-0005-0000-0000-000097020000}"/>
    <cellStyle name="Normal 100" xfId="870" xr:uid="{00000000-0005-0000-0000-000098020000}"/>
    <cellStyle name="Normal 101" xfId="703" xr:uid="{00000000-0005-0000-0000-000099020000}"/>
    <cellStyle name="Normal 11" xfId="169" xr:uid="{00000000-0005-0000-0000-00009A020000}"/>
    <cellStyle name="Normal 11 2" xfId="595" xr:uid="{00000000-0005-0000-0000-00009B020000}"/>
    <cellStyle name="Normal 11 3" xfId="377" xr:uid="{00000000-0005-0000-0000-00009C020000}"/>
    <cellStyle name="Normal 12" xfId="183" xr:uid="{00000000-0005-0000-0000-00009D020000}"/>
    <cellStyle name="Normal 12 2" xfId="609" xr:uid="{00000000-0005-0000-0000-00009E020000}"/>
    <cellStyle name="Normal 12 3" xfId="391" xr:uid="{00000000-0005-0000-0000-00009F020000}"/>
    <cellStyle name="Normal 13" xfId="198" xr:uid="{00000000-0005-0000-0000-0000A0020000}"/>
    <cellStyle name="Normal 13 2" xfId="623" xr:uid="{00000000-0005-0000-0000-0000A1020000}"/>
    <cellStyle name="Normal 13 3" xfId="405" xr:uid="{00000000-0005-0000-0000-0000A2020000}"/>
    <cellStyle name="Normal 14" xfId="212" xr:uid="{00000000-0005-0000-0000-0000A3020000}"/>
    <cellStyle name="Normal 14 2" xfId="419" xr:uid="{00000000-0005-0000-0000-0000A4020000}"/>
    <cellStyle name="Normal 14 2 2" xfId="786" xr:uid="{00000000-0005-0000-0000-0000A5020000}"/>
    <cellStyle name="Normal 14 3" xfId="737" xr:uid="{00000000-0005-0000-0000-0000A6020000}"/>
    <cellStyle name="Normal 15" xfId="226" xr:uid="{00000000-0005-0000-0000-0000A7020000}"/>
    <cellStyle name="Normal 15 2" xfId="637" xr:uid="{00000000-0005-0000-0000-0000A8020000}"/>
    <cellStyle name="Normal 15 2 2" xfId="787" xr:uid="{00000000-0005-0000-0000-0000A9020000}"/>
    <cellStyle name="Normal 15 3" xfId="420" xr:uid="{00000000-0005-0000-0000-0000AA020000}"/>
    <cellStyle name="Normal 15 4" xfId="738" xr:uid="{00000000-0005-0000-0000-0000AB020000}"/>
    <cellStyle name="Normal 16" xfId="467" xr:uid="{00000000-0005-0000-0000-0000AC020000}"/>
    <cellStyle name="Normal 16 2" xfId="788" xr:uid="{00000000-0005-0000-0000-0000AD020000}"/>
    <cellStyle name="Normal 16 3" xfId="739" xr:uid="{00000000-0005-0000-0000-0000AE020000}"/>
    <cellStyle name="Normal 17" xfId="451" xr:uid="{00000000-0005-0000-0000-0000AF020000}"/>
    <cellStyle name="Normal 17 2" xfId="789" xr:uid="{00000000-0005-0000-0000-0000B0020000}"/>
    <cellStyle name="Normal 17 3" xfId="740" xr:uid="{00000000-0005-0000-0000-0000B1020000}"/>
    <cellStyle name="Normal 18" xfId="741" xr:uid="{00000000-0005-0000-0000-0000B2020000}"/>
    <cellStyle name="Normal 18 2" xfId="749" xr:uid="{00000000-0005-0000-0000-0000B3020000}"/>
    <cellStyle name="Normal 18 2 2" xfId="751" xr:uid="{00000000-0005-0000-0000-0000B4020000}"/>
    <cellStyle name="Normal 18 2 2 2" xfId="753" xr:uid="{00000000-0005-0000-0000-0000B5020000}"/>
    <cellStyle name="Normal 18 3" xfId="790" xr:uid="{00000000-0005-0000-0000-0000B6020000}"/>
    <cellStyle name="Normal 19" xfId="742" xr:uid="{00000000-0005-0000-0000-0000B7020000}"/>
    <cellStyle name="Normal 19 2" xfId="791" xr:uid="{00000000-0005-0000-0000-0000B8020000}"/>
    <cellStyle name="Normal 2" xfId="1" xr:uid="{00000000-0005-0000-0000-0000B9020000}"/>
    <cellStyle name="Normal 20" xfId="743" xr:uid="{00000000-0005-0000-0000-0000BA020000}"/>
    <cellStyle name="Normal 20 2" xfId="750" xr:uid="{00000000-0005-0000-0000-0000BB020000}"/>
    <cellStyle name="Normal 20 3" xfId="792" xr:uid="{00000000-0005-0000-0000-0000BC020000}"/>
    <cellStyle name="Normal 21" xfId="744" xr:uid="{00000000-0005-0000-0000-0000BD020000}"/>
    <cellStyle name="Normal 21 2" xfId="793" xr:uid="{00000000-0005-0000-0000-0000BE020000}"/>
    <cellStyle name="Normal 22" xfId="745" xr:uid="{00000000-0005-0000-0000-0000BF020000}"/>
    <cellStyle name="Normal 22 2" xfId="794" xr:uid="{00000000-0005-0000-0000-0000C0020000}"/>
    <cellStyle name="Normal 23" xfId="670" xr:uid="{00000000-0005-0000-0000-0000C1020000}"/>
    <cellStyle name="Normal 23 2" xfId="752" xr:uid="{00000000-0005-0000-0000-0000C2020000}"/>
    <cellStyle name="Normal 24" xfId="756" xr:uid="{00000000-0005-0000-0000-0000C3020000}"/>
    <cellStyle name="Normal 24 2" xfId="796" xr:uid="{00000000-0005-0000-0000-0000C4020000}"/>
    <cellStyle name="Normal 25" xfId="754" xr:uid="{00000000-0005-0000-0000-0000C5020000}"/>
    <cellStyle name="Normal 26" xfId="755" xr:uid="{00000000-0005-0000-0000-0000C6020000}"/>
    <cellStyle name="Normal 27" xfId="757" xr:uid="{00000000-0005-0000-0000-0000C7020000}"/>
    <cellStyle name="Normal 27 2" xfId="797" xr:uid="{00000000-0005-0000-0000-0000C8020000}"/>
    <cellStyle name="Normal 28" xfId="758" xr:uid="{00000000-0005-0000-0000-0000C9020000}"/>
    <cellStyle name="Normal 28 2" xfId="798" xr:uid="{00000000-0005-0000-0000-0000CA020000}"/>
    <cellStyle name="Normal 29" xfId="759" xr:uid="{00000000-0005-0000-0000-0000CB020000}"/>
    <cellStyle name="Normal 29 2" xfId="799" xr:uid="{00000000-0005-0000-0000-0000CC020000}"/>
    <cellStyle name="Normal 3" xfId="45" xr:uid="{00000000-0005-0000-0000-0000CD020000}"/>
    <cellStyle name="Normal 3 2" xfId="783" xr:uid="{00000000-0005-0000-0000-0000CE020000}"/>
    <cellStyle name="Normal 30" xfId="761" xr:uid="{00000000-0005-0000-0000-0000CF020000}"/>
    <cellStyle name="Normal 30 2" xfId="801" xr:uid="{00000000-0005-0000-0000-0000D0020000}"/>
    <cellStyle name="Normal 31" xfId="762" xr:uid="{00000000-0005-0000-0000-0000D1020000}"/>
    <cellStyle name="Normal 31 2" xfId="802" xr:uid="{00000000-0005-0000-0000-0000D2020000}"/>
    <cellStyle name="Normal 32" xfId="763" xr:uid="{00000000-0005-0000-0000-0000D3020000}"/>
    <cellStyle name="Normal 33" xfId="803" xr:uid="{00000000-0005-0000-0000-0000D4020000}"/>
    <cellStyle name="Normal 34" xfId="804" xr:uid="{00000000-0005-0000-0000-0000D5020000}"/>
    <cellStyle name="Normal 35" xfId="805" xr:uid="{00000000-0005-0000-0000-0000D6020000}"/>
    <cellStyle name="Normal 36" xfId="806" xr:uid="{00000000-0005-0000-0000-0000D7020000}"/>
    <cellStyle name="Normal 37" xfId="807" xr:uid="{00000000-0005-0000-0000-0000D8020000}"/>
    <cellStyle name="Normal 38" xfId="808" xr:uid="{00000000-0005-0000-0000-0000D9020000}"/>
    <cellStyle name="Normal 39" xfId="809" xr:uid="{00000000-0005-0000-0000-0000DA020000}"/>
    <cellStyle name="Normal 4" xfId="53" xr:uid="{00000000-0005-0000-0000-0000DB020000}"/>
    <cellStyle name="Normal 4 2" xfId="784" xr:uid="{00000000-0005-0000-0000-0000DC020000}"/>
    <cellStyle name="Normal 40" xfId="810" xr:uid="{00000000-0005-0000-0000-0000DD020000}"/>
    <cellStyle name="Normal 41" xfId="811" xr:uid="{00000000-0005-0000-0000-0000DE020000}"/>
    <cellStyle name="Normal 42" xfId="812" xr:uid="{00000000-0005-0000-0000-0000DF020000}"/>
    <cellStyle name="Normal 43" xfId="813" xr:uid="{00000000-0005-0000-0000-0000E0020000}"/>
    <cellStyle name="Normal 44" xfId="814" xr:uid="{00000000-0005-0000-0000-0000E1020000}"/>
    <cellStyle name="Normal 45" xfId="815" xr:uid="{00000000-0005-0000-0000-0000E2020000}"/>
    <cellStyle name="Normal 46" xfId="816" xr:uid="{00000000-0005-0000-0000-0000E3020000}"/>
    <cellStyle name="Normal 47" xfId="817" xr:uid="{00000000-0005-0000-0000-0000E4020000}"/>
    <cellStyle name="Normal 48" xfId="818" xr:uid="{00000000-0005-0000-0000-0000E5020000}"/>
    <cellStyle name="Normal 49" xfId="819" xr:uid="{00000000-0005-0000-0000-0000E6020000}"/>
    <cellStyle name="Normal 5" xfId="42" xr:uid="{00000000-0005-0000-0000-0000E7020000}"/>
    <cellStyle name="Normal 5 2" xfId="197" xr:uid="{00000000-0005-0000-0000-0000E8020000}"/>
    <cellStyle name="Normal 5 2 2" xfId="747" xr:uid="{00000000-0005-0000-0000-0000E9020000}"/>
    <cellStyle name="Normal 5 3" xfId="491" xr:uid="{00000000-0005-0000-0000-0000EA020000}"/>
    <cellStyle name="Normal 5 4" xfId="259" xr:uid="{00000000-0005-0000-0000-0000EB020000}"/>
    <cellStyle name="Normal 5 5" xfId="723" xr:uid="{00000000-0005-0000-0000-0000EC020000}"/>
    <cellStyle name="Normal 50" xfId="820" xr:uid="{00000000-0005-0000-0000-0000ED020000}"/>
    <cellStyle name="Normal 51" xfId="821" xr:uid="{00000000-0005-0000-0000-0000EE020000}"/>
    <cellStyle name="Normal 52" xfId="822" xr:uid="{00000000-0005-0000-0000-0000EF020000}"/>
    <cellStyle name="Normal 53" xfId="823" xr:uid="{00000000-0005-0000-0000-0000F0020000}"/>
    <cellStyle name="Normal 54" xfId="824" xr:uid="{00000000-0005-0000-0000-0000F1020000}"/>
    <cellStyle name="Normal 55" xfId="825" xr:uid="{00000000-0005-0000-0000-0000F2020000}"/>
    <cellStyle name="Normal 56" xfId="826" xr:uid="{00000000-0005-0000-0000-0000F3020000}"/>
    <cellStyle name="Normal 57" xfId="827" xr:uid="{00000000-0005-0000-0000-0000F4020000}"/>
    <cellStyle name="Normal 58" xfId="828" xr:uid="{00000000-0005-0000-0000-0000F5020000}"/>
    <cellStyle name="Normal 59" xfId="829" xr:uid="{00000000-0005-0000-0000-0000F6020000}"/>
    <cellStyle name="Normal 6" xfId="54" xr:uid="{00000000-0005-0000-0000-0000F7020000}"/>
    <cellStyle name="Normal 6 2" xfId="448" xr:uid="{00000000-0005-0000-0000-0000F8020000}"/>
    <cellStyle name="Normal 6 2 2" xfId="748" xr:uid="{00000000-0005-0000-0000-0000F9020000}"/>
    <cellStyle name="Normal 6 3" xfId="494" xr:uid="{00000000-0005-0000-0000-0000FA020000}"/>
    <cellStyle name="Normal 6 3 2" xfId="785" xr:uid="{00000000-0005-0000-0000-0000FB020000}"/>
    <cellStyle name="Normal 6 4" xfId="262" xr:uid="{00000000-0005-0000-0000-0000FC020000}"/>
    <cellStyle name="Normal 60" xfId="830" xr:uid="{00000000-0005-0000-0000-0000FD020000}"/>
    <cellStyle name="Normal 61" xfId="831" xr:uid="{00000000-0005-0000-0000-0000FE020000}"/>
    <cellStyle name="Normal 62" xfId="832" xr:uid="{00000000-0005-0000-0000-0000FF020000}"/>
    <cellStyle name="Normal 63" xfId="833" xr:uid="{00000000-0005-0000-0000-000000030000}"/>
    <cellStyle name="Normal 64" xfId="834" xr:uid="{00000000-0005-0000-0000-000001030000}"/>
    <cellStyle name="Normal 65" xfId="835" xr:uid="{00000000-0005-0000-0000-000002030000}"/>
    <cellStyle name="Normal 66" xfId="836" xr:uid="{00000000-0005-0000-0000-000003030000}"/>
    <cellStyle name="Normal 67" xfId="837" xr:uid="{00000000-0005-0000-0000-000004030000}"/>
    <cellStyle name="Normal 68" xfId="838" xr:uid="{00000000-0005-0000-0000-000005030000}"/>
    <cellStyle name="Normal 69" xfId="839" xr:uid="{00000000-0005-0000-0000-000006030000}"/>
    <cellStyle name="Normal 7" xfId="76" xr:uid="{00000000-0005-0000-0000-000007030000}"/>
    <cellStyle name="Normal 7 2" xfId="449" xr:uid="{00000000-0005-0000-0000-000008030000}"/>
    <cellStyle name="Normal 7 3" xfId="284" xr:uid="{00000000-0005-0000-0000-000009030000}"/>
    <cellStyle name="Normal 70" xfId="840" xr:uid="{00000000-0005-0000-0000-00000A030000}"/>
    <cellStyle name="Normal 71" xfId="841" xr:uid="{00000000-0005-0000-0000-00000B030000}"/>
    <cellStyle name="Normal 72" xfId="842" xr:uid="{00000000-0005-0000-0000-00000C030000}"/>
    <cellStyle name="Normal 73" xfId="843" xr:uid="{00000000-0005-0000-0000-00000D030000}"/>
    <cellStyle name="Normal 74" xfId="844" xr:uid="{00000000-0005-0000-0000-00000E030000}"/>
    <cellStyle name="Normal 75" xfId="845" xr:uid="{00000000-0005-0000-0000-00000F030000}"/>
    <cellStyle name="Normal 76" xfId="846" xr:uid="{00000000-0005-0000-0000-000010030000}"/>
    <cellStyle name="Normal 77" xfId="847" xr:uid="{00000000-0005-0000-0000-000011030000}"/>
    <cellStyle name="Normal 78" xfId="848" xr:uid="{00000000-0005-0000-0000-000012030000}"/>
    <cellStyle name="Normal 79" xfId="849" xr:uid="{00000000-0005-0000-0000-000013030000}"/>
    <cellStyle name="Normal 8" xfId="96" xr:uid="{00000000-0005-0000-0000-000014030000}"/>
    <cellStyle name="Normal 8 2" xfId="450" xr:uid="{00000000-0005-0000-0000-000015030000}"/>
    <cellStyle name="Normal 8 3" xfId="304" xr:uid="{00000000-0005-0000-0000-000016030000}"/>
    <cellStyle name="Normal 80" xfId="850" xr:uid="{00000000-0005-0000-0000-000017030000}"/>
    <cellStyle name="Normal 81" xfId="851" xr:uid="{00000000-0005-0000-0000-000018030000}"/>
    <cellStyle name="Normal 82" xfId="852" xr:uid="{00000000-0005-0000-0000-000019030000}"/>
    <cellStyle name="Normal 83" xfId="853" xr:uid="{00000000-0005-0000-0000-00001A030000}"/>
    <cellStyle name="Normal 84" xfId="854" xr:uid="{00000000-0005-0000-0000-00001B030000}"/>
    <cellStyle name="Normal 85" xfId="855" xr:uid="{00000000-0005-0000-0000-00001C030000}"/>
    <cellStyle name="Normal 86" xfId="856" xr:uid="{00000000-0005-0000-0000-00001D030000}"/>
    <cellStyle name="Normal 87" xfId="857" xr:uid="{00000000-0005-0000-0000-00001E030000}"/>
    <cellStyle name="Normal 88" xfId="858" xr:uid="{00000000-0005-0000-0000-00001F030000}"/>
    <cellStyle name="Normal 89" xfId="859" xr:uid="{00000000-0005-0000-0000-000020030000}"/>
    <cellStyle name="Normal 9" xfId="116" xr:uid="{00000000-0005-0000-0000-000021030000}"/>
    <cellStyle name="Normal 9 2" xfId="542" xr:uid="{00000000-0005-0000-0000-000022030000}"/>
    <cellStyle name="Normal 9 3" xfId="324" xr:uid="{00000000-0005-0000-0000-000023030000}"/>
    <cellStyle name="Normal 90" xfId="860" xr:uid="{00000000-0005-0000-0000-000024030000}"/>
    <cellStyle name="Normal 91" xfId="861" xr:uid="{00000000-0005-0000-0000-000025030000}"/>
    <cellStyle name="Normal 92" xfId="862" xr:uid="{00000000-0005-0000-0000-000026030000}"/>
    <cellStyle name="Normal 93" xfId="863" xr:uid="{00000000-0005-0000-0000-000027030000}"/>
    <cellStyle name="Normal 94" xfId="864" xr:uid="{00000000-0005-0000-0000-000028030000}"/>
    <cellStyle name="Normal 95" xfId="865" xr:uid="{00000000-0005-0000-0000-000029030000}"/>
    <cellStyle name="Normal 96" xfId="866" xr:uid="{00000000-0005-0000-0000-00002A030000}"/>
    <cellStyle name="Normal 97" xfId="867" xr:uid="{00000000-0005-0000-0000-00002B030000}"/>
    <cellStyle name="Normal 98" xfId="868" xr:uid="{00000000-0005-0000-0000-00002C030000}"/>
    <cellStyle name="Normal 99" xfId="869" xr:uid="{00000000-0005-0000-0000-00002D030000}"/>
    <cellStyle name="Notas 10" xfId="184" xr:uid="{00000000-0005-0000-0000-00002E030000}"/>
    <cellStyle name="Notas 10 2" xfId="610" xr:uid="{00000000-0005-0000-0000-00002F030000}"/>
    <cellStyle name="Notas 10 3" xfId="392" xr:uid="{00000000-0005-0000-0000-000030030000}"/>
    <cellStyle name="Notas 11" xfId="199" xr:uid="{00000000-0005-0000-0000-000031030000}"/>
    <cellStyle name="Notas 11 2" xfId="624" xr:uid="{00000000-0005-0000-0000-000032030000}"/>
    <cellStyle name="Notas 11 3" xfId="406" xr:uid="{00000000-0005-0000-0000-000033030000}"/>
    <cellStyle name="Notas 12" xfId="213" xr:uid="{00000000-0005-0000-0000-000034030000}"/>
    <cellStyle name="Notas 12 2" xfId="638" xr:uid="{00000000-0005-0000-0000-000035030000}"/>
    <cellStyle name="Notas 12 3" xfId="421" xr:uid="{00000000-0005-0000-0000-000036030000}"/>
    <cellStyle name="Notas 13" xfId="227" xr:uid="{00000000-0005-0000-0000-000037030000}"/>
    <cellStyle name="Notas 13 2" xfId="452" xr:uid="{00000000-0005-0000-0000-000038030000}"/>
    <cellStyle name="Notas 14" xfId="657" xr:uid="{00000000-0005-0000-0000-000039030000}"/>
    <cellStyle name="Notas 15" xfId="671" xr:uid="{00000000-0005-0000-0000-00003A030000}"/>
    <cellStyle name="Notas 16" xfId="684" xr:uid="{00000000-0005-0000-0000-00003B030000}"/>
    <cellStyle name="Notas 17" xfId="704" xr:uid="{00000000-0005-0000-0000-00003C030000}"/>
    <cellStyle name="Notas 2" xfId="44" xr:uid="{00000000-0005-0000-0000-00003D030000}"/>
    <cellStyle name="Notas 2 2" xfId="493" xr:uid="{00000000-0005-0000-0000-00003E030000}"/>
    <cellStyle name="Notas 2 3" xfId="261" xr:uid="{00000000-0005-0000-0000-00003F030000}"/>
    <cellStyle name="Notas 2 4" xfId="724" xr:uid="{00000000-0005-0000-0000-000040030000}"/>
    <cellStyle name="Notas 3" xfId="56" xr:uid="{00000000-0005-0000-0000-000041030000}"/>
    <cellStyle name="Notas 3 2" xfId="496" xr:uid="{00000000-0005-0000-0000-000042030000}"/>
    <cellStyle name="Notas 3 3" xfId="264" xr:uid="{00000000-0005-0000-0000-000043030000}"/>
    <cellStyle name="Notas 3 4" xfId="764" xr:uid="{00000000-0005-0000-0000-000044030000}"/>
    <cellStyle name="Notas 4" xfId="77" xr:uid="{00000000-0005-0000-0000-000045030000}"/>
    <cellStyle name="Notas 4 2" xfId="510" xr:uid="{00000000-0005-0000-0000-000046030000}"/>
    <cellStyle name="Notas 4 3" xfId="285" xr:uid="{00000000-0005-0000-0000-000047030000}"/>
    <cellStyle name="Notas 5" xfId="97" xr:uid="{00000000-0005-0000-0000-000048030000}"/>
    <cellStyle name="Notas 5 2" xfId="523" xr:uid="{00000000-0005-0000-0000-000049030000}"/>
    <cellStyle name="Notas 5 3" xfId="305" xr:uid="{00000000-0005-0000-0000-00004A030000}"/>
    <cellStyle name="Notas 6" xfId="117" xr:uid="{00000000-0005-0000-0000-00004B030000}"/>
    <cellStyle name="Notas 6 2" xfId="543" xr:uid="{00000000-0005-0000-0000-00004C030000}"/>
    <cellStyle name="Notas 6 3" xfId="325" xr:uid="{00000000-0005-0000-0000-00004D030000}"/>
    <cellStyle name="Notas 7" xfId="136" xr:uid="{00000000-0005-0000-0000-00004E030000}"/>
    <cellStyle name="Notas 7 2" xfId="562" xr:uid="{00000000-0005-0000-0000-00004F030000}"/>
    <cellStyle name="Notas 7 3" xfId="344" xr:uid="{00000000-0005-0000-0000-000050030000}"/>
    <cellStyle name="Notas 8" xfId="150" xr:uid="{00000000-0005-0000-0000-000051030000}"/>
    <cellStyle name="Notas 8 2" xfId="576" xr:uid="{00000000-0005-0000-0000-000052030000}"/>
    <cellStyle name="Notas 8 3" xfId="358" xr:uid="{00000000-0005-0000-0000-000053030000}"/>
    <cellStyle name="Notas 9" xfId="170" xr:uid="{00000000-0005-0000-0000-000054030000}"/>
    <cellStyle name="Notas 9 2" xfId="596" xr:uid="{00000000-0005-0000-0000-000055030000}"/>
    <cellStyle name="Notas 9 3" xfId="378" xr:uid="{00000000-0005-0000-0000-000056030000}"/>
    <cellStyle name="Porcentaje" xfId="240" builtinId="5"/>
    <cellStyle name="Porcentaje 2" xfId="43" xr:uid="{00000000-0005-0000-0000-000058030000}"/>
    <cellStyle name="Porcentaje 2 2" xfId="492" xr:uid="{00000000-0005-0000-0000-000059030000}"/>
    <cellStyle name="Porcentaje 2 3" xfId="260" xr:uid="{00000000-0005-0000-0000-00005A030000}"/>
    <cellStyle name="Porcentaje 2 4" xfId="800" xr:uid="{00000000-0005-0000-0000-00005B030000}"/>
    <cellStyle name="Porcentaje 3" xfId="55" xr:uid="{00000000-0005-0000-0000-00005C030000}"/>
    <cellStyle name="Porcentaje 3 2" xfId="495" xr:uid="{00000000-0005-0000-0000-00005D030000}"/>
    <cellStyle name="Porcentaje 3 3" xfId="263" xr:uid="{00000000-0005-0000-0000-00005E030000}"/>
    <cellStyle name="Porcentaje 4" xfId="760" xr:uid="{00000000-0005-0000-0000-00005F030000}"/>
    <cellStyle name="Salida" xfId="11" builtinId="21" customBuiltin="1"/>
    <cellStyle name="Texto de advertencia" xfId="15" builtinId="11" customBuiltin="1"/>
    <cellStyle name="Texto explicativo" xfId="16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6"/>
  <sheetViews>
    <sheetView showGridLines="0" zoomScale="50" zoomScaleNormal="50" workbookViewId="0">
      <pane ySplit="2" topLeftCell="A3" activePane="bottomLeft" state="frozen"/>
      <selection pane="bottomLeft" activeCell="D34" sqref="D34"/>
    </sheetView>
  </sheetViews>
  <sheetFormatPr baseColWidth="10" defaultColWidth="9.42578125" defaultRowHeight="15" x14ac:dyDescent="0.25"/>
  <cols>
    <col min="1" max="1" width="35" style="3" customWidth="1"/>
    <col min="2" max="2" width="16.85546875" style="3" bestFit="1" customWidth="1"/>
    <col min="3" max="3" width="19.5703125" style="3" customWidth="1"/>
    <col min="4" max="4" width="49.85546875" style="3" bestFit="1" customWidth="1"/>
    <col min="5" max="5" width="16.85546875" style="3" customWidth="1"/>
    <col min="6" max="6" width="17.5703125" style="3" customWidth="1"/>
    <col min="7" max="7" width="13" style="3" customWidth="1"/>
    <col min="8" max="8" width="20" style="3" bestFit="1" customWidth="1"/>
    <col min="9" max="9" width="17.42578125" style="3" bestFit="1" customWidth="1"/>
    <col min="10" max="10" width="9.42578125" style="3"/>
    <col min="11" max="11" width="9.5703125" style="3" bestFit="1" customWidth="1"/>
    <col min="12" max="16384" width="9.42578125" style="3"/>
  </cols>
  <sheetData>
    <row r="1" spans="1:9" x14ac:dyDescent="0.25">
      <c r="C1" s="3" t="s">
        <v>34</v>
      </c>
      <c r="F1" s="3" t="s">
        <v>30</v>
      </c>
      <c r="G1" s="3" t="s">
        <v>31</v>
      </c>
      <c r="H1" s="3" t="s">
        <v>32</v>
      </c>
      <c r="I1" s="3" t="s">
        <v>33</v>
      </c>
    </row>
    <row r="2" spans="1:9" ht="45" x14ac:dyDescent="0.25">
      <c r="A2" s="2" t="s">
        <v>18</v>
      </c>
      <c r="B2" s="4" t="s">
        <v>0</v>
      </c>
      <c r="C2" s="4" t="s">
        <v>5</v>
      </c>
      <c r="D2" s="4" t="s">
        <v>6</v>
      </c>
      <c r="E2" s="2" t="s">
        <v>7</v>
      </c>
      <c r="F2" s="2" t="s">
        <v>1</v>
      </c>
      <c r="G2" s="4" t="s">
        <v>2</v>
      </c>
      <c r="H2" s="4" t="s">
        <v>3</v>
      </c>
      <c r="I2" s="4" t="s">
        <v>4</v>
      </c>
    </row>
    <row r="3" spans="1:9" ht="15" customHeight="1" x14ac:dyDescent="0.25">
      <c r="A3" s="36" t="s">
        <v>136</v>
      </c>
      <c r="B3" s="3" t="s">
        <v>65</v>
      </c>
      <c r="C3" s="35">
        <v>45778</v>
      </c>
      <c r="D3" s="36" t="s">
        <v>137</v>
      </c>
      <c r="E3" s="37" t="s">
        <v>138</v>
      </c>
      <c r="F3" s="38">
        <v>45776</v>
      </c>
      <c r="G3" s="39">
        <v>21</v>
      </c>
      <c r="H3" s="39">
        <v>384.29300000000001</v>
      </c>
      <c r="I3" s="39">
        <v>361.28</v>
      </c>
    </row>
    <row r="4" spans="1:9" ht="15" customHeight="1" x14ac:dyDescent="0.25">
      <c r="A4" s="36" t="s">
        <v>99</v>
      </c>
      <c r="B4" s="3" t="s">
        <v>65</v>
      </c>
      <c r="C4" s="35">
        <v>45778</v>
      </c>
      <c r="D4" s="36" t="s">
        <v>100</v>
      </c>
      <c r="E4" s="37" t="s">
        <v>101</v>
      </c>
      <c r="F4" s="38">
        <v>45776</v>
      </c>
      <c r="G4" s="39">
        <v>123</v>
      </c>
      <c r="H4" s="39">
        <v>2343.5940000000001</v>
      </c>
      <c r="I4" s="39">
        <v>2209.2049999999999</v>
      </c>
    </row>
    <row r="5" spans="1:9" ht="15" customHeight="1" x14ac:dyDescent="0.25">
      <c r="A5" s="36" t="s">
        <v>175</v>
      </c>
      <c r="B5" s="3" t="s">
        <v>65</v>
      </c>
      <c r="C5" s="35">
        <v>45778</v>
      </c>
      <c r="D5" s="36" t="s">
        <v>176</v>
      </c>
      <c r="E5" s="37" t="s">
        <v>177</v>
      </c>
      <c r="F5" s="38">
        <v>45776</v>
      </c>
      <c r="G5" s="39">
        <v>33</v>
      </c>
      <c r="H5" s="39">
        <v>707.8900000000001</v>
      </c>
      <c r="I5" s="39">
        <v>670.68099999999993</v>
      </c>
    </row>
    <row r="6" spans="1:9" ht="15" customHeight="1" x14ac:dyDescent="0.25">
      <c r="A6" s="36" t="s">
        <v>102</v>
      </c>
      <c r="B6" s="3" t="s">
        <v>65</v>
      </c>
      <c r="C6" s="35">
        <v>45778</v>
      </c>
      <c r="D6" s="36" t="s">
        <v>103</v>
      </c>
      <c r="E6" s="37" t="s">
        <v>104</v>
      </c>
      <c r="F6" s="38">
        <v>45776</v>
      </c>
      <c r="G6" s="39">
        <v>221</v>
      </c>
      <c r="H6" s="39">
        <v>4425.973</v>
      </c>
      <c r="I6" s="39">
        <v>4135.6170000000002</v>
      </c>
    </row>
    <row r="7" spans="1:9" ht="15" customHeight="1" x14ac:dyDescent="0.25">
      <c r="A7" s="36" t="s">
        <v>105</v>
      </c>
      <c r="B7" s="3" t="s">
        <v>65</v>
      </c>
      <c r="C7" s="35">
        <v>45778</v>
      </c>
      <c r="D7" s="36" t="s">
        <v>106</v>
      </c>
      <c r="E7" s="37" t="s">
        <v>107</v>
      </c>
      <c r="F7" s="38">
        <v>45776</v>
      </c>
      <c r="G7" s="39">
        <v>271</v>
      </c>
      <c r="H7" s="39">
        <v>5720.3620000000001</v>
      </c>
      <c r="I7" s="39">
        <v>5379.826</v>
      </c>
    </row>
    <row r="8" spans="1:9" ht="15" customHeight="1" x14ac:dyDescent="0.25">
      <c r="A8" s="36" t="s">
        <v>178</v>
      </c>
      <c r="B8" s="3" t="s">
        <v>65</v>
      </c>
      <c r="C8" s="35">
        <v>45778</v>
      </c>
      <c r="D8" s="36" t="s">
        <v>179</v>
      </c>
      <c r="E8" s="37" t="s">
        <v>180</v>
      </c>
      <c r="F8" s="38">
        <v>45776</v>
      </c>
      <c r="G8" s="39">
        <v>39</v>
      </c>
      <c r="H8" s="39">
        <v>822.03100000000006</v>
      </c>
      <c r="I8" s="39">
        <v>781.40899999999999</v>
      </c>
    </row>
    <row r="9" spans="1:9" ht="15" customHeight="1" x14ac:dyDescent="0.25">
      <c r="A9" s="36" t="s">
        <v>139</v>
      </c>
      <c r="B9" s="3" t="s">
        <v>65</v>
      </c>
      <c r="C9" s="35">
        <v>45778</v>
      </c>
      <c r="D9" s="36" t="s">
        <v>140</v>
      </c>
      <c r="E9" s="37" t="s">
        <v>141</v>
      </c>
      <c r="F9" s="38">
        <v>45776</v>
      </c>
      <c r="G9" s="39">
        <v>10</v>
      </c>
      <c r="H9" s="39">
        <v>190.66800000000001</v>
      </c>
      <c r="I9" s="39">
        <v>180.048</v>
      </c>
    </row>
    <row r="10" spans="1:9" ht="15" customHeight="1" x14ac:dyDescent="0.25">
      <c r="A10" s="36" t="s">
        <v>108</v>
      </c>
      <c r="B10" s="3" t="s">
        <v>65</v>
      </c>
      <c r="C10" s="35">
        <v>45778</v>
      </c>
      <c r="D10" s="36" t="s">
        <v>109</v>
      </c>
      <c r="E10" s="37" t="s">
        <v>110</v>
      </c>
      <c r="F10" s="38">
        <v>45776</v>
      </c>
      <c r="G10" s="39">
        <v>55</v>
      </c>
      <c r="H10" s="39">
        <v>1114.519</v>
      </c>
      <c r="I10" s="39">
        <v>1056.204</v>
      </c>
    </row>
    <row r="11" spans="1:9" ht="15" customHeight="1" x14ac:dyDescent="0.25">
      <c r="A11" s="36" t="s">
        <v>142</v>
      </c>
      <c r="B11" s="3" t="s">
        <v>65</v>
      </c>
      <c r="C11" s="35">
        <v>45778</v>
      </c>
      <c r="D11" s="36" t="s">
        <v>143</v>
      </c>
      <c r="E11" s="37" t="s">
        <v>144</v>
      </c>
      <c r="F11" s="38">
        <v>45776</v>
      </c>
      <c r="G11" s="39">
        <v>5</v>
      </c>
      <c r="H11" s="39">
        <v>112.86799999999999</v>
      </c>
      <c r="I11" s="39">
        <v>107.343</v>
      </c>
    </row>
    <row r="12" spans="1:9" ht="15" customHeight="1" x14ac:dyDescent="0.25">
      <c r="A12" s="36" t="s">
        <v>145</v>
      </c>
      <c r="B12" s="3" t="s">
        <v>65</v>
      </c>
      <c r="C12" s="35">
        <v>45778</v>
      </c>
      <c r="D12" s="36" t="s">
        <v>146</v>
      </c>
      <c r="E12" s="37" t="s">
        <v>147</v>
      </c>
      <c r="F12" s="38">
        <v>45776</v>
      </c>
      <c r="G12" s="39">
        <v>18</v>
      </c>
      <c r="H12" s="39">
        <v>360.33699999999999</v>
      </c>
      <c r="I12" s="39">
        <v>340.41300000000001</v>
      </c>
    </row>
    <row r="13" spans="1:9" ht="15" customHeight="1" x14ac:dyDescent="0.25">
      <c r="A13" s="36" t="s">
        <v>111</v>
      </c>
      <c r="B13" s="3" t="s">
        <v>65</v>
      </c>
      <c r="C13" s="35">
        <v>45778</v>
      </c>
      <c r="D13" s="36" t="s">
        <v>112</v>
      </c>
      <c r="E13" s="37" t="s">
        <v>113</v>
      </c>
      <c r="F13" s="38">
        <v>45776</v>
      </c>
      <c r="G13" s="39">
        <v>95</v>
      </c>
      <c r="H13" s="39">
        <v>2030.8679999999999</v>
      </c>
      <c r="I13" s="39">
        <v>1925.1029999999998</v>
      </c>
    </row>
    <row r="14" spans="1:9" ht="15" customHeight="1" x14ac:dyDescent="0.25">
      <c r="A14" s="36" t="s">
        <v>148</v>
      </c>
      <c r="B14" s="3" t="s">
        <v>65</v>
      </c>
      <c r="C14" s="35">
        <v>45778</v>
      </c>
      <c r="D14" s="36" t="s">
        <v>149</v>
      </c>
      <c r="E14" s="37" t="s">
        <v>150</v>
      </c>
      <c r="F14" s="38">
        <v>45776</v>
      </c>
      <c r="G14" s="39">
        <v>8</v>
      </c>
      <c r="H14" s="39">
        <v>161.834</v>
      </c>
      <c r="I14" s="39">
        <v>152.93</v>
      </c>
    </row>
    <row r="15" spans="1:9" ht="15" customHeight="1" x14ac:dyDescent="0.25">
      <c r="A15" s="36" t="s">
        <v>114</v>
      </c>
      <c r="B15" s="3" t="s">
        <v>65</v>
      </c>
      <c r="C15" s="35">
        <v>45778</v>
      </c>
      <c r="D15" s="36" t="s">
        <v>115</v>
      </c>
      <c r="E15" s="37" t="s">
        <v>116</v>
      </c>
      <c r="F15" s="38">
        <v>45776</v>
      </c>
      <c r="G15" s="39">
        <v>57</v>
      </c>
      <c r="H15" s="39">
        <v>1324.6659999999999</v>
      </c>
      <c r="I15" s="39">
        <v>1240.519</v>
      </c>
    </row>
    <row r="16" spans="1:9" ht="15" customHeight="1" x14ac:dyDescent="0.25">
      <c r="A16" s="36" t="s">
        <v>169</v>
      </c>
      <c r="B16" s="3" t="s">
        <v>65</v>
      </c>
      <c r="C16" s="35">
        <v>45778</v>
      </c>
      <c r="D16" s="36" t="s">
        <v>170</v>
      </c>
      <c r="E16" s="37" t="s">
        <v>171</v>
      </c>
      <c r="F16" s="38">
        <v>45776</v>
      </c>
      <c r="G16" s="39">
        <v>2</v>
      </c>
      <c r="H16" s="39">
        <v>47.335000000000001</v>
      </c>
      <c r="I16" s="39">
        <v>44.599000000000004</v>
      </c>
    </row>
    <row r="17" spans="1:9" ht="15" customHeight="1" x14ac:dyDescent="0.25">
      <c r="A17" s="36" t="s">
        <v>117</v>
      </c>
      <c r="B17" s="3" t="s">
        <v>65</v>
      </c>
      <c r="C17" s="35">
        <v>45778</v>
      </c>
      <c r="D17" s="36" t="s">
        <v>118</v>
      </c>
      <c r="E17" s="37" t="s">
        <v>119</v>
      </c>
      <c r="F17" s="38">
        <v>45776</v>
      </c>
      <c r="G17" s="39">
        <v>111</v>
      </c>
      <c r="H17" s="39">
        <v>2207.192</v>
      </c>
      <c r="I17" s="39">
        <v>2078.3689999999997</v>
      </c>
    </row>
    <row r="18" spans="1:9" ht="15" customHeight="1" x14ac:dyDescent="0.25">
      <c r="A18" s="36" t="s">
        <v>151</v>
      </c>
      <c r="B18" s="3" t="s">
        <v>65</v>
      </c>
      <c r="C18" s="35">
        <v>45778</v>
      </c>
      <c r="D18" s="36" t="s">
        <v>152</v>
      </c>
      <c r="E18" s="37" t="s">
        <v>153</v>
      </c>
      <c r="F18" s="38">
        <v>45776</v>
      </c>
      <c r="G18" s="39">
        <v>19</v>
      </c>
      <c r="H18" s="39">
        <v>376.00400000000002</v>
      </c>
      <c r="I18" s="39">
        <v>353.77700000000004</v>
      </c>
    </row>
    <row r="19" spans="1:9" ht="15" customHeight="1" x14ac:dyDescent="0.25">
      <c r="A19" s="36" t="s">
        <v>154</v>
      </c>
      <c r="B19" s="3" t="s">
        <v>65</v>
      </c>
      <c r="C19" s="35">
        <v>45778</v>
      </c>
      <c r="D19" s="36" t="s">
        <v>155</v>
      </c>
      <c r="E19" s="37" t="s">
        <v>156</v>
      </c>
      <c r="F19" s="38">
        <v>45776</v>
      </c>
      <c r="G19" s="39">
        <v>26</v>
      </c>
      <c r="H19" s="39">
        <v>561.827</v>
      </c>
      <c r="I19" s="39">
        <v>531.19900000000007</v>
      </c>
    </row>
    <row r="20" spans="1:9" ht="15" customHeight="1" x14ac:dyDescent="0.25">
      <c r="A20" s="36" t="s">
        <v>120</v>
      </c>
      <c r="B20" s="3" t="s">
        <v>65</v>
      </c>
      <c r="C20" s="35">
        <v>45778</v>
      </c>
      <c r="D20" s="36" t="s">
        <v>121</v>
      </c>
      <c r="E20" s="37" t="s">
        <v>122</v>
      </c>
      <c r="F20" s="38">
        <v>45776</v>
      </c>
      <c r="G20" s="39">
        <v>137</v>
      </c>
      <c r="H20" s="39">
        <v>2624.43</v>
      </c>
      <c r="I20" s="39">
        <v>2460.739</v>
      </c>
    </row>
    <row r="21" spans="1:9" ht="15" customHeight="1" x14ac:dyDescent="0.25">
      <c r="A21" s="36" t="s">
        <v>123</v>
      </c>
      <c r="B21" s="3" t="s">
        <v>65</v>
      </c>
      <c r="C21" s="35">
        <v>45778</v>
      </c>
      <c r="D21" s="36" t="s">
        <v>124</v>
      </c>
      <c r="E21" s="37" t="s">
        <v>125</v>
      </c>
      <c r="F21" s="38">
        <v>45776</v>
      </c>
      <c r="G21" s="39">
        <v>21</v>
      </c>
      <c r="H21" s="39">
        <v>451.63100000000003</v>
      </c>
      <c r="I21" s="39">
        <v>427.76800000000003</v>
      </c>
    </row>
    <row r="22" spans="1:9" ht="15" customHeight="1" x14ac:dyDescent="0.25">
      <c r="A22" s="36" t="s">
        <v>157</v>
      </c>
      <c r="B22" s="3" t="s">
        <v>65</v>
      </c>
      <c r="C22" s="35">
        <v>45778</v>
      </c>
      <c r="D22" s="36" t="s">
        <v>158</v>
      </c>
      <c r="E22" s="37" t="s">
        <v>159</v>
      </c>
      <c r="F22" s="38">
        <v>45776</v>
      </c>
      <c r="G22" s="39">
        <v>4</v>
      </c>
      <c r="H22" s="39">
        <v>77.012</v>
      </c>
      <c r="I22" s="39">
        <v>72.5</v>
      </c>
    </row>
    <row r="23" spans="1:9" ht="15" customHeight="1" x14ac:dyDescent="0.25">
      <c r="A23" s="36" t="s">
        <v>126</v>
      </c>
      <c r="B23" s="3" t="s">
        <v>65</v>
      </c>
      <c r="C23" s="35">
        <v>45778</v>
      </c>
      <c r="D23" s="36" t="s">
        <v>127</v>
      </c>
      <c r="E23" s="37" t="s">
        <v>128</v>
      </c>
      <c r="F23" s="38">
        <v>45776</v>
      </c>
      <c r="G23" s="39">
        <v>208</v>
      </c>
      <c r="H23" s="39">
        <v>4183.7090000000007</v>
      </c>
      <c r="I23" s="39">
        <v>3939.6850000000004</v>
      </c>
    </row>
    <row r="24" spans="1:9" ht="15" customHeight="1" x14ac:dyDescent="0.25">
      <c r="A24" s="36" t="s">
        <v>160</v>
      </c>
      <c r="B24" s="3" t="s">
        <v>65</v>
      </c>
      <c r="C24" s="35">
        <v>45778</v>
      </c>
      <c r="D24" s="36" t="s">
        <v>161</v>
      </c>
      <c r="E24" s="37" t="s">
        <v>162</v>
      </c>
      <c r="F24" s="38">
        <v>45776</v>
      </c>
      <c r="G24" s="39">
        <v>39</v>
      </c>
      <c r="H24" s="39">
        <v>753.72600000000011</v>
      </c>
      <c r="I24" s="39">
        <v>707.98900000000003</v>
      </c>
    </row>
    <row r="25" spans="1:9" ht="15" customHeight="1" x14ac:dyDescent="0.25">
      <c r="A25" s="36" t="s">
        <v>163</v>
      </c>
      <c r="B25" s="3" t="s">
        <v>65</v>
      </c>
      <c r="C25" s="35">
        <v>45778</v>
      </c>
      <c r="D25" s="36" t="s">
        <v>164</v>
      </c>
      <c r="E25" s="37" t="s">
        <v>165</v>
      </c>
      <c r="F25" s="38">
        <v>45776</v>
      </c>
      <c r="G25" s="39">
        <v>29</v>
      </c>
      <c r="H25" s="39">
        <v>600.97500000000002</v>
      </c>
      <c r="I25" s="39">
        <v>571.10299999999995</v>
      </c>
    </row>
    <row r="26" spans="1:9" ht="15" customHeight="1" x14ac:dyDescent="0.25">
      <c r="A26" s="36" t="s">
        <v>129</v>
      </c>
      <c r="B26" s="3" t="s">
        <v>65</v>
      </c>
      <c r="C26" s="35">
        <v>45778</v>
      </c>
      <c r="D26" s="36" t="s">
        <v>130</v>
      </c>
      <c r="E26" s="37" t="s">
        <v>131</v>
      </c>
      <c r="F26" s="38">
        <v>45776</v>
      </c>
      <c r="G26" s="39">
        <v>172</v>
      </c>
      <c r="H26" s="39">
        <v>3449.614</v>
      </c>
      <c r="I26" s="39">
        <v>3272.7180000000003</v>
      </c>
    </row>
    <row r="27" spans="1:9" ht="15" customHeight="1" x14ac:dyDescent="0.25">
      <c r="A27" s="36" t="s">
        <v>172</v>
      </c>
      <c r="B27" s="3" t="s">
        <v>65</v>
      </c>
      <c r="C27" s="35">
        <v>45778</v>
      </c>
      <c r="D27" s="36" t="s">
        <v>173</v>
      </c>
      <c r="E27" s="37" t="s">
        <v>174</v>
      </c>
      <c r="F27" s="38">
        <v>45776</v>
      </c>
      <c r="G27" s="39">
        <v>28</v>
      </c>
      <c r="H27" s="39">
        <v>306.39800000000002</v>
      </c>
      <c r="I27" s="39">
        <v>292.08999999999997</v>
      </c>
    </row>
    <row r="28" spans="1:9" ht="15" customHeight="1" x14ac:dyDescent="0.25">
      <c r="A28" s="36" t="s">
        <v>181</v>
      </c>
      <c r="B28" s="3" t="s">
        <v>65</v>
      </c>
      <c r="C28" s="35">
        <v>45778</v>
      </c>
      <c r="D28" s="36" t="s">
        <v>182</v>
      </c>
      <c r="E28" s="37" t="s">
        <v>183</v>
      </c>
      <c r="F28" s="38">
        <v>45776</v>
      </c>
      <c r="G28" s="39">
        <v>2</v>
      </c>
      <c r="H28" s="39">
        <v>20.856000000000002</v>
      </c>
      <c r="I28" s="39">
        <v>19.844000000000001</v>
      </c>
    </row>
    <row r="29" spans="1:9" ht="15" customHeight="1" x14ac:dyDescent="0.25">
      <c r="A29" s="36" t="s">
        <v>166</v>
      </c>
      <c r="B29" s="3" t="s">
        <v>65</v>
      </c>
      <c r="C29" s="35">
        <v>45778</v>
      </c>
      <c r="D29" s="36" t="s">
        <v>167</v>
      </c>
      <c r="E29" s="37" t="s">
        <v>168</v>
      </c>
      <c r="F29" s="38">
        <v>45776</v>
      </c>
      <c r="G29" s="39">
        <v>18</v>
      </c>
      <c r="H29" s="39">
        <v>370.625</v>
      </c>
      <c r="I29" s="39">
        <v>351.52100000000002</v>
      </c>
    </row>
    <row r="30" spans="1:9" ht="15" customHeight="1" x14ac:dyDescent="0.25">
      <c r="A30" s="36" t="s">
        <v>132</v>
      </c>
      <c r="B30" s="3" t="s">
        <v>65</v>
      </c>
      <c r="C30" s="35">
        <v>45778</v>
      </c>
      <c r="D30" s="36" t="s">
        <v>133</v>
      </c>
      <c r="E30" s="37" t="s">
        <v>134</v>
      </c>
      <c r="F30" s="38">
        <v>45776</v>
      </c>
      <c r="G30" s="39">
        <v>103</v>
      </c>
      <c r="H30" s="39">
        <v>2154.5709999999999</v>
      </c>
      <c r="I30" s="39">
        <v>2045.607</v>
      </c>
    </row>
    <row r="31" spans="1:9" ht="15" customHeight="1" x14ac:dyDescent="0.25"/>
    <row r="32" spans="1:9" ht="15" customHeight="1" x14ac:dyDescent="0.25"/>
    <row r="33" spans="4:9" ht="15" customHeight="1" x14ac:dyDescent="0.25">
      <c r="D33" s="37"/>
    </row>
    <row r="34" spans="4:9" ht="15" customHeight="1" x14ac:dyDescent="0.25"/>
    <row r="35" spans="4:9" ht="15" customHeight="1" x14ac:dyDescent="0.25"/>
    <row r="36" spans="4:9" ht="15" customHeight="1" x14ac:dyDescent="0.25">
      <c r="F36" s="38" t="s">
        <v>98</v>
      </c>
      <c r="G36" s="39">
        <f>SUM(G3:G30)</f>
        <v>1875</v>
      </c>
      <c r="H36" s="39">
        <f>SUM(H3:H30)</f>
        <v>37885.808000000005</v>
      </c>
      <c r="I36" s="39">
        <f>SUM(I3:I30)</f>
        <v>35710.085999999996</v>
      </c>
    </row>
    <row r="37" spans="4:9" ht="15" customHeight="1" x14ac:dyDescent="0.25"/>
    <row r="38" spans="4:9" ht="15" customHeight="1" x14ac:dyDescent="0.25">
      <c r="F38" s="40" t="s">
        <v>66</v>
      </c>
      <c r="G38" s="41">
        <f>+SUMIF(D3:D30, "*SPICED*",G3:G30)</f>
        <v>820</v>
      </c>
      <c r="H38" s="41">
        <f>+SUMIF(D3:D30, "*SPICED*",H3:H30)</f>
        <v>16461.023000000001</v>
      </c>
      <c r="I38" s="41">
        <f>+SUMIF(D3:D30, "*SPICED*",I3:I30)</f>
        <v>15565.412999999999</v>
      </c>
    </row>
    <row r="39" spans="4:9" ht="15" customHeight="1" x14ac:dyDescent="0.25">
      <c r="F39" s="40" t="s">
        <v>67</v>
      </c>
      <c r="G39" s="41">
        <f>G36-G38</f>
        <v>1055</v>
      </c>
      <c r="H39" s="41">
        <f>H36-H38</f>
        <v>21424.785000000003</v>
      </c>
      <c r="I39" s="41">
        <f>I36-I38</f>
        <v>20144.672999999995</v>
      </c>
    </row>
    <row r="40" spans="4:9" ht="15" customHeight="1" x14ac:dyDescent="0.25">
      <c r="F40" s="40"/>
      <c r="G40" s="41"/>
      <c r="H40" s="41"/>
      <c r="I40" s="41"/>
    </row>
    <row r="41" spans="4:9" ht="15" customHeight="1" x14ac:dyDescent="0.25">
      <c r="F41" s="63"/>
      <c r="G41" s="64"/>
      <c r="H41" s="64"/>
      <c r="I41" s="64"/>
    </row>
    <row r="42" spans="4:9" ht="15" customHeight="1" x14ac:dyDescent="0.25">
      <c r="F42" s="40" t="s">
        <v>135</v>
      </c>
      <c r="G42" s="62">
        <f>G38/G36</f>
        <v>0.43733333333333335</v>
      </c>
    </row>
    <row r="43" spans="4:9" ht="15" customHeight="1" x14ac:dyDescent="0.25"/>
    <row r="44" spans="4:9" ht="15" customHeight="1" x14ac:dyDescent="0.25"/>
    <row r="45" spans="4:9" ht="15" customHeight="1" x14ac:dyDescent="0.25"/>
    <row r="46" spans="4:9" ht="15" customHeight="1" x14ac:dyDescent="0.25"/>
    <row r="47" spans="4:9" ht="15" customHeight="1" x14ac:dyDescent="0.25"/>
    <row r="48" spans="4:9" ht="15" customHeight="1" x14ac:dyDescent="0.25"/>
    <row r="49" spans="1:8" ht="15" customHeight="1" thickBot="1" x14ac:dyDescent="0.3"/>
    <row r="50" spans="1:8" ht="15" customHeight="1" x14ac:dyDescent="0.25">
      <c r="A50" s="46" t="s">
        <v>73</v>
      </c>
      <c r="B50" s="47"/>
      <c r="C50" s="47"/>
      <c r="D50" s="47"/>
    </row>
    <row r="51" spans="1:8" ht="15" customHeight="1" x14ac:dyDescent="0.25">
      <c r="A51" s="48"/>
      <c r="B51"/>
      <c r="C51"/>
      <c r="D51"/>
    </row>
    <row r="52" spans="1:8" ht="15" customHeight="1" x14ac:dyDescent="0.25">
      <c r="A52" s="54" t="s">
        <v>70</v>
      </c>
      <c r="B52" s="56">
        <v>156</v>
      </c>
      <c r="C52" s="43">
        <v>41</v>
      </c>
      <c r="D52" s="57">
        <f>+C52/(SUM(B52:C52))</f>
        <v>0.20812182741116753</v>
      </c>
    </row>
    <row r="53" spans="1:8" ht="15" customHeight="1" x14ac:dyDescent="0.25">
      <c r="A53" s="55">
        <v>45611</v>
      </c>
      <c r="B53" s="56"/>
      <c r="C53" s="43"/>
      <c r="D53" s="57"/>
    </row>
    <row r="54" spans="1:8" ht="15" customHeight="1" x14ac:dyDescent="0.25">
      <c r="A54" s="55"/>
      <c r="B54" s="42"/>
      <c r="C54" s="42"/>
      <c r="D54"/>
    </row>
    <row r="55" spans="1:8" ht="15" customHeight="1" x14ac:dyDescent="0.25">
      <c r="A55" s="53"/>
      <c r="B55"/>
      <c r="C55"/>
      <c r="D55" s="42"/>
    </row>
    <row r="56" spans="1:8" ht="15" customHeight="1" x14ac:dyDescent="0.25">
      <c r="A56" s="49" t="s">
        <v>68</v>
      </c>
      <c r="B56"/>
      <c r="C56"/>
      <c r="D56" s="42"/>
    </row>
    <row r="57" spans="1:8" ht="15" customHeight="1" x14ac:dyDescent="0.25">
      <c r="A57" s="48"/>
      <c r="B57" s="44" t="s">
        <v>70</v>
      </c>
      <c r="C57" s="45" t="s">
        <v>71</v>
      </c>
      <c r="D57" s="45" t="s">
        <v>72</v>
      </c>
    </row>
    <row r="58" spans="1:8" ht="15" customHeight="1" x14ac:dyDescent="0.25">
      <c r="A58" s="54" t="s">
        <v>69</v>
      </c>
      <c r="B58" s="55">
        <v>45615</v>
      </c>
      <c r="C58" s="59">
        <v>156</v>
      </c>
      <c r="D58" s="60">
        <v>9705</v>
      </c>
    </row>
    <row r="59" spans="1:8" ht="15" customHeight="1" thickBot="1" x14ac:dyDescent="0.3">
      <c r="A59" s="55">
        <v>45610</v>
      </c>
      <c r="B59" s="55"/>
      <c r="C59" s="59"/>
      <c r="D59" s="59"/>
    </row>
    <row r="60" spans="1:8" ht="15" customHeight="1" x14ac:dyDescent="0.25">
      <c r="A60" s="55"/>
      <c r="B60" s="52"/>
      <c r="C60" s="61">
        <f>SUM(C58:C59)</f>
        <v>156</v>
      </c>
      <c r="D60" s="61">
        <f>SUM(D58:D59)</f>
        <v>9705</v>
      </c>
      <c r="E60" s="47"/>
      <c r="F60" s="47"/>
      <c r="G60" s="47"/>
      <c r="H60" s="47"/>
    </row>
    <row r="61" spans="1:8" ht="15" customHeight="1" thickBot="1" x14ac:dyDescent="0.3">
      <c r="A61" s="52"/>
      <c r="B61" s="51"/>
      <c r="C61" s="58"/>
      <c r="D61" s="58"/>
    </row>
    <row r="62" spans="1:8" ht="15" customHeight="1" thickBot="1" x14ac:dyDescent="0.3">
      <c r="A62" s="50"/>
    </row>
    <row r="63" spans="1:8" ht="15" customHeight="1" x14ac:dyDescent="0.25"/>
    <row r="64" spans="1:8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</sheetData>
  <autoFilter ref="A2:I30" xr:uid="{00000000-0009-0000-0000-000000000000}"/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80"/>
  <sheetViews>
    <sheetView showGridLines="0" tabSelected="1" zoomScale="80" zoomScaleNormal="80" workbookViewId="0">
      <pane ySplit="2" topLeftCell="A22" activePane="bottomLeft" state="frozen"/>
      <selection pane="bottomLeft" activeCell="A3" sqref="A3"/>
    </sheetView>
  </sheetViews>
  <sheetFormatPr baseColWidth="10" defaultColWidth="9.42578125" defaultRowHeight="15" x14ac:dyDescent="0.25"/>
  <cols>
    <col min="1" max="1" width="35" style="3" customWidth="1"/>
    <col min="2" max="2" width="16.85546875" style="3" bestFit="1" customWidth="1"/>
    <col min="3" max="3" width="19.5703125" style="3" customWidth="1"/>
    <col min="4" max="4" width="49.85546875" style="3" bestFit="1" customWidth="1"/>
    <col min="5" max="5" width="16.85546875" style="3" customWidth="1"/>
    <col min="6" max="6" width="17.5703125" style="52" customWidth="1"/>
    <col min="7" max="7" width="13" style="3" customWidth="1"/>
    <col min="8" max="8" width="20" style="3" bestFit="1" customWidth="1"/>
    <col min="9" max="9" width="17.42578125" style="3" bestFit="1" customWidth="1"/>
    <col min="10" max="10" width="9.42578125" style="3"/>
    <col min="11" max="11" width="9.5703125" style="3" bestFit="1" customWidth="1"/>
    <col min="12" max="16384" width="9.42578125" style="3"/>
  </cols>
  <sheetData>
    <row r="1" spans="1:10" x14ac:dyDescent="0.25">
      <c r="C1" s="3" t="s">
        <v>34</v>
      </c>
      <c r="F1" s="52" t="s">
        <v>30</v>
      </c>
      <c r="G1" s="3" t="s">
        <v>31</v>
      </c>
      <c r="H1" s="3" t="s">
        <v>32</v>
      </c>
      <c r="I1" s="3" t="s">
        <v>33</v>
      </c>
    </row>
    <row r="2" spans="1:10" ht="49.5" customHeight="1" x14ac:dyDescent="0.25">
      <c r="A2" s="70" t="s">
        <v>184</v>
      </c>
      <c r="B2" s="70" t="s">
        <v>0</v>
      </c>
      <c r="C2" s="70" t="s">
        <v>185</v>
      </c>
      <c r="D2" s="70" t="s">
        <v>46</v>
      </c>
      <c r="E2" s="70" t="s">
        <v>44</v>
      </c>
      <c r="F2" s="71" t="s">
        <v>186</v>
      </c>
      <c r="G2" s="70" t="s">
        <v>187</v>
      </c>
      <c r="H2" s="70" t="s">
        <v>188</v>
      </c>
      <c r="I2" s="70" t="s">
        <v>189</v>
      </c>
      <c r="J2" s="65">
        <v>100000</v>
      </c>
    </row>
    <row r="3" spans="1:10" ht="15.95" customHeight="1" x14ac:dyDescent="0.25">
      <c r="A3" s="68" t="s">
        <v>232</v>
      </c>
      <c r="B3" s="28" t="s">
        <v>65</v>
      </c>
      <c r="C3" s="69">
        <v>46287</v>
      </c>
      <c r="D3" s="28" t="s">
        <v>233</v>
      </c>
      <c r="E3" t="s">
        <v>234</v>
      </c>
      <c r="F3" s="72">
        <v>46281</v>
      </c>
      <c r="G3" s="42">
        <v>1</v>
      </c>
      <c r="H3" s="75">
        <v>8.2799999999999994</v>
      </c>
      <c r="I3" s="75">
        <v>7.2960000000000003</v>
      </c>
    </row>
    <row r="4" spans="1:10" ht="15.95" customHeight="1" x14ac:dyDescent="0.25">
      <c r="A4" s="68" t="s">
        <v>136</v>
      </c>
      <c r="B4" s="28" t="s">
        <v>65</v>
      </c>
      <c r="C4" s="69">
        <v>46287</v>
      </c>
      <c r="D4" s="28" t="s">
        <v>137</v>
      </c>
      <c r="E4" t="s">
        <v>138</v>
      </c>
      <c r="F4" s="72">
        <v>46281</v>
      </c>
      <c r="G4" s="42">
        <v>17</v>
      </c>
      <c r="H4" s="75">
        <v>301.548</v>
      </c>
      <c r="I4" s="75">
        <v>283.464</v>
      </c>
    </row>
    <row r="5" spans="1:10" ht="15.95" customHeight="1" x14ac:dyDescent="0.25">
      <c r="A5" s="68" t="s">
        <v>99</v>
      </c>
      <c r="B5" s="28" t="s">
        <v>65</v>
      </c>
      <c r="C5" s="69">
        <v>46287</v>
      </c>
      <c r="D5" s="28" t="s">
        <v>100</v>
      </c>
      <c r="E5" t="s">
        <v>101</v>
      </c>
      <c r="F5" s="72">
        <v>46281</v>
      </c>
      <c r="G5" s="42">
        <v>45</v>
      </c>
      <c r="H5" s="75">
        <v>811.67499999999995</v>
      </c>
      <c r="I5" s="75">
        <v>763.59500000000003</v>
      </c>
    </row>
    <row r="6" spans="1:10" ht="15.95" customHeight="1" x14ac:dyDescent="0.25">
      <c r="A6" s="68" t="s">
        <v>215</v>
      </c>
      <c r="B6" s="28" t="s">
        <v>65</v>
      </c>
      <c r="C6" s="69">
        <v>46287</v>
      </c>
      <c r="D6" s="28" t="s">
        <v>216</v>
      </c>
      <c r="E6" t="s">
        <v>217</v>
      </c>
      <c r="F6" s="72">
        <v>46281</v>
      </c>
      <c r="G6" s="42">
        <v>11</v>
      </c>
      <c r="H6" s="75">
        <v>188.64</v>
      </c>
      <c r="I6" s="75">
        <v>175.464</v>
      </c>
    </row>
    <row r="7" spans="1:10" ht="15.95" customHeight="1" x14ac:dyDescent="0.25">
      <c r="A7" s="68" t="s">
        <v>175</v>
      </c>
      <c r="B7" s="28" t="s">
        <v>65</v>
      </c>
      <c r="C7" s="69">
        <v>46287</v>
      </c>
      <c r="D7" s="28" t="s">
        <v>218</v>
      </c>
      <c r="E7" t="s">
        <v>219</v>
      </c>
      <c r="F7" s="72">
        <v>46281</v>
      </c>
      <c r="G7" s="42">
        <v>23</v>
      </c>
      <c r="H7" s="75">
        <v>442.322</v>
      </c>
      <c r="I7" s="75">
        <v>418.03399999999999</v>
      </c>
    </row>
    <row r="8" spans="1:10" ht="15.95" customHeight="1" x14ac:dyDescent="0.25">
      <c r="A8" s="68" t="s">
        <v>102</v>
      </c>
      <c r="B8" s="28" t="s">
        <v>65</v>
      </c>
      <c r="C8" s="69">
        <v>46287</v>
      </c>
      <c r="D8" s="28" t="s">
        <v>103</v>
      </c>
      <c r="E8" t="s">
        <v>104</v>
      </c>
      <c r="F8" s="72">
        <v>46281</v>
      </c>
      <c r="G8" s="42">
        <v>105</v>
      </c>
      <c r="H8" s="75">
        <v>2079.3069999999998</v>
      </c>
      <c r="I8" s="75">
        <v>1950.712</v>
      </c>
    </row>
    <row r="9" spans="1:10" ht="15.95" customHeight="1" x14ac:dyDescent="0.25">
      <c r="A9" s="68" t="s">
        <v>105</v>
      </c>
      <c r="B9" s="28" t="s">
        <v>65</v>
      </c>
      <c r="C9" s="69">
        <v>46287</v>
      </c>
      <c r="D9" s="28" t="s">
        <v>106</v>
      </c>
      <c r="E9" t="s">
        <v>107</v>
      </c>
      <c r="F9" s="72">
        <v>46281</v>
      </c>
      <c r="G9" s="42">
        <v>98</v>
      </c>
      <c r="H9" s="75">
        <v>2261.7179999999998</v>
      </c>
      <c r="I9" s="75">
        <v>2140.4140000000002</v>
      </c>
    </row>
    <row r="10" spans="1:10" ht="15.95" customHeight="1" x14ac:dyDescent="0.25">
      <c r="A10" s="68" t="s">
        <v>229</v>
      </c>
      <c r="B10" s="28" t="s">
        <v>65</v>
      </c>
      <c r="C10" s="69">
        <v>46287</v>
      </c>
      <c r="D10" s="28" t="s">
        <v>230</v>
      </c>
      <c r="E10" t="s">
        <v>231</v>
      </c>
      <c r="F10" s="72">
        <v>46281</v>
      </c>
      <c r="G10" s="42">
        <v>6</v>
      </c>
      <c r="H10" s="75">
        <v>141.82</v>
      </c>
      <c r="I10" s="75">
        <v>135.55600000000001</v>
      </c>
    </row>
    <row r="11" spans="1:10" ht="15.95" customHeight="1" x14ac:dyDescent="0.25">
      <c r="A11" s="68" t="s">
        <v>220</v>
      </c>
      <c r="B11" s="28" t="s">
        <v>65</v>
      </c>
      <c r="C11" s="69">
        <v>46287</v>
      </c>
      <c r="D11" s="28" t="s">
        <v>221</v>
      </c>
      <c r="E11" t="s">
        <v>222</v>
      </c>
      <c r="F11" s="72">
        <v>46281</v>
      </c>
      <c r="G11" s="42">
        <v>19</v>
      </c>
      <c r="H11" s="75">
        <v>438.94299999999998</v>
      </c>
      <c r="I11" s="75">
        <v>419.20299999999997</v>
      </c>
    </row>
    <row r="12" spans="1:10" ht="15.95" customHeight="1" x14ac:dyDescent="0.25">
      <c r="A12" s="68" t="s">
        <v>191</v>
      </c>
      <c r="B12" s="28" t="s">
        <v>65</v>
      </c>
      <c r="C12" s="69">
        <v>46287</v>
      </c>
      <c r="D12" s="28" t="s">
        <v>192</v>
      </c>
      <c r="E12" t="s">
        <v>193</v>
      </c>
      <c r="F12" s="72">
        <v>46281</v>
      </c>
      <c r="G12" s="42">
        <v>23</v>
      </c>
      <c r="H12" s="75">
        <v>504.13099999999997</v>
      </c>
      <c r="I12" s="75">
        <v>481.41500000000002</v>
      </c>
    </row>
    <row r="13" spans="1:10" ht="15.95" customHeight="1" x14ac:dyDescent="0.25">
      <c r="A13" s="68" t="s">
        <v>194</v>
      </c>
      <c r="B13" s="28" t="s">
        <v>65</v>
      </c>
      <c r="C13" s="69">
        <v>46287</v>
      </c>
      <c r="D13" s="28" t="s">
        <v>195</v>
      </c>
      <c r="E13" t="s">
        <v>196</v>
      </c>
      <c r="F13" s="72">
        <v>46281</v>
      </c>
      <c r="G13" s="42">
        <v>12</v>
      </c>
      <c r="H13" s="75">
        <v>248.81800000000001</v>
      </c>
      <c r="I13" s="75">
        <v>237.01400000000001</v>
      </c>
    </row>
    <row r="14" spans="1:10" ht="15.95" customHeight="1" x14ac:dyDescent="0.25">
      <c r="A14" s="68" t="s">
        <v>197</v>
      </c>
      <c r="B14" s="28" t="s">
        <v>65</v>
      </c>
      <c r="C14" s="69">
        <v>46287</v>
      </c>
      <c r="D14" s="28" t="s">
        <v>198</v>
      </c>
      <c r="E14" t="s">
        <v>199</v>
      </c>
      <c r="F14" s="72">
        <v>46281</v>
      </c>
      <c r="G14" s="42">
        <v>7</v>
      </c>
      <c r="H14" s="75">
        <v>128.69399999999999</v>
      </c>
      <c r="I14" s="75">
        <v>120.93</v>
      </c>
    </row>
    <row r="15" spans="1:10" ht="15.95" customHeight="1" x14ac:dyDescent="0.25">
      <c r="A15" s="68" t="s">
        <v>200</v>
      </c>
      <c r="B15" s="28" t="s">
        <v>65</v>
      </c>
      <c r="C15" s="69">
        <v>46287</v>
      </c>
      <c r="D15" s="28" t="s">
        <v>201</v>
      </c>
      <c r="E15" t="s">
        <v>202</v>
      </c>
      <c r="F15" s="72">
        <v>46281</v>
      </c>
      <c r="G15" s="42">
        <v>10</v>
      </c>
      <c r="H15" s="75">
        <v>179.36</v>
      </c>
      <c r="I15" s="75">
        <v>168.30799999999999</v>
      </c>
    </row>
    <row r="16" spans="1:10" ht="15.95" customHeight="1" x14ac:dyDescent="0.25">
      <c r="A16" s="68" t="s">
        <v>223</v>
      </c>
      <c r="B16" s="28" t="s">
        <v>65</v>
      </c>
      <c r="C16" s="69">
        <v>46287</v>
      </c>
      <c r="D16" s="28" t="s">
        <v>224</v>
      </c>
      <c r="E16" t="s">
        <v>225</v>
      </c>
      <c r="F16" s="72">
        <v>46281</v>
      </c>
      <c r="G16" s="42">
        <v>14</v>
      </c>
      <c r="H16" s="75">
        <v>274.76499999999999</v>
      </c>
      <c r="I16" s="75">
        <v>260.93700000000001</v>
      </c>
    </row>
    <row r="17" spans="1:9" ht="15.95" customHeight="1" x14ac:dyDescent="0.25">
      <c r="A17" s="68" t="s">
        <v>203</v>
      </c>
      <c r="B17" s="28" t="s">
        <v>65</v>
      </c>
      <c r="C17" s="69">
        <v>46287</v>
      </c>
      <c r="D17" s="28" t="s">
        <v>204</v>
      </c>
      <c r="E17" t="s">
        <v>205</v>
      </c>
      <c r="F17" s="72">
        <v>46281</v>
      </c>
      <c r="G17" s="42">
        <v>42</v>
      </c>
      <c r="H17" s="75">
        <v>854.03300000000002</v>
      </c>
      <c r="I17" s="75">
        <v>812.33900000000006</v>
      </c>
    </row>
    <row r="18" spans="1:9" ht="15.95" customHeight="1" x14ac:dyDescent="0.25">
      <c r="A18" s="68" t="s">
        <v>206</v>
      </c>
      <c r="B18" s="28" t="s">
        <v>65</v>
      </c>
      <c r="C18" s="69">
        <v>46287</v>
      </c>
      <c r="D18" s="28" t="s">
        <v>207</v>
      </c>
      <c r="E18" t="s">
        <v>208</v>
      </c>
      <c r="F18" s="72">
        <v>46281</v>
      </c>
      <c r="G18" s="42">
        <v>17</v>
      </c>
      <c r="H18" s="75">
        <v>356.29</v>
      </c>
      <c r="I18" s="75">
        <v>339.36599999999999</v>
      </c>
    </row>
    <row r="19" spans="1:9" ht="15.95" customHeight="1" x14ac:dyDescent="0.25">
      <c r="A19" s="68" t="s">
        <v>226</v>
      </c>
      <c r="B19" s="28" t="s">
        <v>65</v>
      </c>
      <c r="C19" s="69">
        <v>46287</v>
      </c>
      <c r="D19" s="28" t="s">
        <v>227</v>
      </c>
      <c r="E19" t="s">
        <v>228</v>
      </c>
      <c r="F19" s="72">
        <v>46281</v>
      </c>
      <c r="G19" s="42">
        <v>6</v>
      </c>
      <c r="H19" s="75">
        <v>125.16500000000001</v>
      </c>
      <c r="I19" s="75">
        <v>118.901</v>
      </c>
    </row>
    <row r="20" spans="1:9" ht="15.95" customHeight="1" x14ac:dyDescent="0.25">
      <c r="A20" s="68" t="s">
        <v>114</v>
      </c>
      <c r="B20" s="28" t="s">
        <v>65</v>
      </c>
      <c r="C20" s="69">
        <v>46287</v>
      </c>
      <c r="D20" s="28" t="s">
        <v>115</v>
      </c>
      <c r="E20" t="s">
        <v>116</v>
      </c>
      <c r="F20" s="72">
        <v>46281</v>
      </c>
      <c r="G20" s="42">
        <v>27</v>
      </c>
      <c r="H20" s="75">
        <v>578.79100000000005</v>
      </c>
      <c r="I20" s="75">
        <v>540.61300000000006</v>
      </c>
    </row>
    <row r="21" spans="1:9" ht="15.95" customHeight="1" x14ac:dyDescent="0.25">
      <c r="A21" s="68" t="s">
        <v>169</v>
      </c>
      <c r="B21" s="28" t="s">
        <v>65</v>
      </c>
      <c r="C21" s="69">
        <v>46287</v>
      </c>
      <c r="D21" s="28" t="s">
        <v>170</v>
      </c>
      <c r="E21" t="s">
        <v>171</v>
      </c>
      <c r="F21" s="72">
        <v>46279</v>
      </c>
      <c r="G21" s="42">
        <v>2</v>
      </c>
      <c r="H21" s="75">
        <v>38.616</v>
      </c>
      <c r="I21" s="75">
        <v>36.125999999999998</v>
      </c>
    </row>
    <row r="22" spans="1:9" ht="15.95" customHeight="1" x14ac:dyDescent="0.25">
      <c r="A22" s="68" t="s">
        <v>117</v>
      </c>
      <c r="B22" s="28" t="s">
        <v>65</v>
      </c>
      <c r="C22" s="69">
        <v>46287</v>
      </c>
      <c r="D22" s="28" t="s">
        <v>118</v>
      </c>
      <c r="E22" t="s">
        <v>119</v>
      </c>
      <c r="F22" s="72">
        <v>46281</v>
      </c>
      <c r="G22" s="42">
        <v>49</v>
      </c>
      <c r="H22" s="75">
        <v>1051.154</v>
      </c>
      <c r="I22" s="75">
        <v>999.71600000000001</v>
      </c>
    </row>
    <row r="23" spans="1:9" ht="15.95" customHeight="1" x14ac:dyDescent="0.25">
      <c r="A23" s="68" t="s">
        <v>151</v>
      </c>
      <c r="B23" s="28" t="s">
        <v>65</v>
      </c>
      <c r="C23" s="69">
        <v>46287</v>
      </c>
      <c r="D23" s="28" t="s">
        <v>152</v>
      </c>
      <c r="E23" t="s">
        <v>153</v>
      </c>
      <c r="F23" s="72">
        <v>46281</v>
      </c>
      <c r="G23" s="42">
        <v>19</v>
      </c>
      <c r="H23" s="75">
        <v>387.77800000000002</v>
      </c>
      <c r="I23" s="75">
        <v>368.00200000000001</v>
      </c>
    </row>
    <row r="24" spans="1:9" ht="15.95" customHeight="1" x14ac:dyDescent="0.25">
      <c r="A24" s="68" t="s">
        <v>154</v>
      </c>
      <c r="B24" s="28" t="s">
        <v>65</v>
      </c>
      <c r="C24" s="69">
        <v>46287</v>
      </c>
      <c r="D24" s="28" t="s">
        <v>155</v>
      </c>
      <c r="E24" t="s">
        <v>156</v>
      </c>
      <c r="F24" s="72">
        <v>46281</v>
      </c>
      <c r="G24" s="42">
        <v>34</v>
      </c>
      <c r="H24" s="75">
        <v>678.81500000000005</v>
      </c>
      <c r="I24" s="75">
        <v>646.29700000000003</v>
      </c>
    </row>
    <row r="25" spans="1:9" ht="15.95" customHeight="1" x14ac:dyDescent="0.25">
      <c r="A25" s="68" t="s">
        <v>120</v>
      </c>
      <c r="B25" s="28" t="s">
        <v>65</v>
      </c>
      <c r="C25" s="69">
        <v>46287</v>
      </c>
      <c r="D25" s="28" t="s">
        <v>121</v>
      </c>
      <c r="E25" t="s">
        <v>122</v>
      </c>
      <c r="F25" s="72">
        <v>46281</v>
      </c>
      <c r="G25" s="42">
        <v>70</v>
      </c>
      <c r="H25" s="75">
        <v>1458.4269999999999</v>
      </c>
      <c r="I25" s="75">
        <v>1391.4870000000001</v>
      </c>
    </row>
    <row r="26" spans="1:9" ht="15.95" customHeight="1" x14ac:dyDescent="0.25">
      <c r="A26" s="68" t="s">
        <v>123</v>
      </c>
      <c r="B26" s="28" t="s">
        <v>65</v>
      </c>
      <c r="C26" s="69">
        <v>46287</v>
      </c>
      <c r="D26" s="28" t="s">
        <v>124</v>
      </c>
      <c r="E26" t="s">
        <v>125</v>
      </c>
      <c r="F26" s="72">
        <v>46281</v>
      </c>
      <c r="G26" s="42">
        <v>11</v>
      </c>
      <c r="H26" s="75">
        <v>206.28</v>
      </c>
      <c r="I26" s="75">
        <v>195.548</v>
      </c>
    </row>
    <row r="27" spans="1:9" ht="15.95" customHeight="1" x14ac:dyDescent="0.25">
      <c r="A27" s="68" t="s">
        <v>157</v>
      </c>
      <c r="B27" s="28" t="s">
        <v>65</v>
      </c>
      <c r="C27" s="69">
        <v>46287</v>
      </c>
      <c r="D27" s="28" t="s">
        <v>158</v>
      </c>
      <c r="E27" t="s">
        <v>159</v>
      </c>
      <c r="F27" s="72">
        <v>46281</v>
      </c>
      <c r="G27" s="42">
        <v>4</v>
      </c>
      <c r="H27" s="75">
        <v>77.319999999999993</v>
      </c>
      <c r="I27" s="75">
        <v>73.402000000000001</v>
      </c>
    </row>
    <row r="28" spans="1:9" ht="15.95" customHeight="1" x14ac:dyDescent="0.25">
      <c r="A28" s="68" t="s">
        <v>126</v>
      </c>
      <c r="B28" s="28" t="s">
        <v>65</v>
      </c>
      <c r="C28" s="69">
        <v>46287</v>
      </c>
      <c r="D28" s="28" t="s">
        <v>127</v>
      </c>
      <c r="E28" t="s">
        <v>128</v>
      </c>
      <c r="F28" s="72">
        <v>46281</v>
      </c>
      <c r="G28" s="42">
        <v>113</v>
      </c>
      <c r="H28" s="75">
        <v>2070.02</v>
      </c>
      <c r="I28" s="75">
        <v>1959.5840000000001</v>
      </c>
    </row>
    <row r="29" spans="1:9" ht="15.95" customHeight="1" x14ac:dyDescent="0.25">
      <c r="A29" s="68" t="s">
        <v>160</v>
      </c>
      <c r="B29" s="28" t="s">
        <v>65</v>
      </c>
      <c r="C29" s="69">
        <v>46287</v>
      </c>
      <c r="D29" s="28" t="s">
        <v>161</v>
      </c>
      <c r="E29" t="s">
        <v>162</v>
      </c>
      <c r="F29" s="72">
        <v>46281</v>
      </c>
      <c r="G29" s="42">
        <v>43</v>
      </c>
      <c r="H29" s="75">
        <v>759.15099999999995</v>
      </c>
      <c r="I29" s="75">
        <v>717.255</v>
      </c>
    </row>
    <row r="30" spans="1:9" ht="15.95" customHeight="1" x14ac:dyDescent="0.25">
      <c r="A30" s="68" t="s">
        <v>209</v>
      </c>
      <c r="B30" s="28" t="s">
        <v>65</v>
      </c>
      <c r="C30" s="69">
        <v>46287</v>
      </c>
      <c r="D30" s="28" t="s">
        <v>210</v>
      </c>
      <c r="E30" t="s">
        <v>211</v>
      </c>
      <c r="F30" s="72">
        <v>46281</v>
      </c>
      <c r="G30" s="42">
        <v>71</v>
      </c>
      <c r="H30" s="75">
        <v>1596.1420000000001</v>
      </c>
      <c r="I30" s="75">
        <v>1527.67</v>
      </c>
    </row>
    <row r="31" spans="1:9" ht="15.95" customHeight="1" x14ac:dyDescent="0.25">
      <c r="A31" s="68" t="s">
        <v>212</v>
      </c>
      <c r="B31" s="28" t="s">
        <v>65</v>
      </c>
      <c r="C31" s="69">
        <v>46287</v>
      </c>
      <c r="D31" s="28" t="s">
        <v>213</v>
      </c>
      <c r="E31" t="s">
        <v>214</v>
      </c>
      <c r="F31" s="72">
        <v>46281</v>
      </c>
      <c r="G31" s="42">
        <v>29</v>
      </c>
      <c r="H31" s="75">
        <v>601.71</v>
      </c>
      <c r="I31" s="75">
        <v>573.86199999999997</v>
      </c>
    </row>
    <row r="32" spans="1:9" ht="15.95" customHeight="1" x14ac:dyDescent="0.25">
      <c r="A32" s="68" t="s">
        <v>172</v>
      </c>
      <c r="B32" s="28" t="s">
        <v>65</v>
      </c>
      <c r="C32" s="69">
        <v>46287</v>
      </c>
      <c r="D32" s="28" t="s">
        <v>173</v>
      </c>
      <c r="E32" t="s">
        <v>174</v>
      </c>
      <c r="F32" s="72">
        <v>46281</v>
      </c>
      <c r="G32" s="42">
        <v>8</v>
      </c>
      <c r="H32" s="75">
        <v>92.727999999999994</v>
      </c>
      <c r="I32" s="75">
        <v>89.087999999999994</v>
      </c>
    </row>
    <row r="33" spans="1:9" ht="15.95" customHeight="1" x14ac:dyDescent="0.25">
      <c r="A33" s="68" t="s">
        <v>181</v>
      </c>
      <c r="B33" s="28" t="s">
        <v>65</v>
      </c>
      <c r="C33" s="69">
        <v>46287</v>
      </c>
      <c r="D33" s="28" t="s">
        <v>182</v>
      </c>
      <c r="E33" t="s">
        <v>183</v>
      </c>
      <c r="F33" s="72">
        <v>46281</v>
      </c>
      <c r="G33" s="42">
        <v>8</v>
      </c>
      <c r="H33" s="75">
        <v>74.454999999999998</v>
      </c>
      <c r="I33" s="75">
        <v>70.864999999999995</v>
      </c>
    </row>
    <row r="34" spans="1:9" ht="15.95" customHeight="1" x14ac:dyDescent="0.25">
      <c r="A34" s="68" t="s">
        <v>166</v>
      </c>
      <c r="B34" s="28" t="s">
        <v>65</v>
      </c>
      <c r="C34" s="69">
        <v>46287</v>
      </c>
      <c r="D34" s="28" t="s">
        <v>167</v>
      </c>
      <c r="E34" t="s">
        <v>168</v>
      </c>
      <c r="F34" s="72">
        <v>46281</v>
      </c>
      <c r="G34" s="42">
        <v>20</v>
      </c>
      <c r="H34" s="75">
        <v>417.036</v>
      </c>
      <c r="I34" s="75">
        <v>395.81599999999997</v>
      </c>
    </row>
    <row r="35" spans="1:9" ht="15.95" customHeight="1" x14ac:dyDescent="0.25">
      <c r="A35" s="68" t="s">
        <v>132</v>
      </c>
      <c r="B35" s="28" t="s">
        <v>65</v>
      </c>
      <c r="C35" s="69">
        <v>46287</v>
      </c>
      <c r="D35" s="28" t="s">
        <v>133</v>
      </c>
      <c r="E35" t="s">
        <v>134</v>
      </c>
      <c r="F35" s="72">
        <v>46281</v>
      </c>
      <c r="G35" s="42">
        <v>51</v>
      </c>
      <c r="H35" s="75">
        <v>1041.2850000000001</v>
      </c>
      <c r="I35" s="75">
        <v>987.49300000000005</v>
      </c>
    </row>
    <row r="36" spans="1:9" ht="15" customHeight="1" x14ac:dyDescent="0.25">
      <c r="A36" s="67"/>
      <c r="B36" s="67"/>
      <c r="C36" s="67"/>
      <c r="D36" s="67"/>
      <c r="E36" s="67"/>
      <c r="F36" s="73"/>
      <c r="G36" s="67"/>
      <c r="H36" s="67"/>
      <c r="I36" s="67"/>
    </row>
    <row r="37" spans="1:9" ht="15" customHeight="1" x14ac:dyDescent="0.25">
      <c r="A37" s="36"/>
      <c r="C37" s="35"/>
      <c r="D37" s="36"/>
      <c r="E37" s="37"/>
      <c r="F37" s="74" t="s">
        <v>190</v>
      </c>
      <c r="G37" s="66">
        <f>SUM(G3:G36)</f>
        <v>1015</v>
      </c>
      <c r="H37" s="66">
        <f>SUM(H3:H36)</f>
        <v>20475.217000000004</v>
      </c>
      <c r="I37" s="66">
        <f>SUM(I3:I36)</f>
        <v>19405.772000000001</v>
      </c>
    </row>
    <row r="38" spans="1:9" ht="15" customHeight="1" x14ac:dyDescent="0.25">
      <c r="A38" s="36"/>
      <c r="C38" s="35"/>
      <c r="D38" s="36"/>
      <c r="E38" s="37"/>
    </row>
    <row r="40" spans="1:9" ht="15" customHeight="1" x14ac:dyDescent="0.25">
      <c r="A40" s="36"/>
      <c r="C40" s="35"/>
      <c r="D40" s="36"/>
      <c r="E40" s="37"/>
      <c r="F40" s="40" t="s">
        <v>66</v>
      </c>
      <c r="G40" s="41">
        <f>+SUMIF(D3:D36,"*SPICED*",G3:G36)</f>
        <v>237</v>
      </c>
      <c r="H40" s="41">
        <f>+SUMIF(D3:D36,"*SPICED*",H3:H36)</f>
        <v>4708.7860000000001</v>
      </c>
      <c r="I40" s="41">
        <f>+SUMIF(D3:D36,"*SPICED*",I3:I36)</f>
        <v>4468.152</v>
      </c>
    </row>
    <row r="41" spans="1:9" ht="15" customHeight="1" x14ac:dyDescent="0.25">
      <c r="A41" s="36"/>
      <c r="C41" s="35"/>
      <c r="D41" s="36"/>
      <c r="E41" s="37"/>
      <c r="F41" s="40" t="s">
        <v>67</v>
      </c>
      <c r="G41" s="41">
        <f>+G37-G40</f>
        <v>778</v>
      </c>
      <c r="H41" s="41">
        <f>+H37-H40</f>
        <v>15766.431000000004</v>
      </c>
      <c r="I41" s="41">
        <f>+I37-I40</f>
        <v>14937.62</v>
      </c>
    </row>
    <row r="42" spans="1:9" ht="15" customHeight="1" x14ac:dyDescent="0.25">
      <c r="A42" s="36"/>
      <c r="C42" s="35"/>
      <c r="D42" s="36"/>
      <c r="E42" s="37"/>
      <c r="F42" s="40"/>
      <c r="G42" s="41"/>
      <c r="H42" s="41"/>
      <c r="I42" s="41"/>
    </row>
    <row r="43" spans="1:9" ht="15" customHeight="1" x14ac:dyDescent="0.25">
      <c r="A43" s="36"/>
      <c r="C43" s="35"/>
      <c r="D43" s="36"/>
      <c r="E43" s="37"/>
      <c r="F43" s="38"/>
      <c r="G43" s="39"/>
      <c r="H43" s="39"/>
      <c r="I43" s="39"/>
    </row>
    <row r="44" spans="1:9" ht="15" customHeight="1" x14ac:dyDescent="0.25">
      <c r="A44" s="36"/>
      <c r="C44" s="35"/>
      <c r="D44" s="36"/>
      <c r="E44" s="37"/>
      <c r="F44" s="40" t="s">
        <v>135</v>
      </c>
      <c r="G44" s="62">
        <f>G40/G37</f>
        <v>0.23349753694581279</v>
      </c>
      <c r="H44" s="39"/>
      <c r="I44" s="39"/>
    </row>
    <row r="45" spans="1:9" ht="15" customHeight="1" x14ac:dyDescent="0.25">
      <c r="A45" s="36"/>
      <c r="C45" s="35"/>
      <c r="D45" s="36"/>
      <c r="E45" s="37"/>
    </row>
    <row r="46" spans="1:9" ht="15" customHeight="1" x14ac:dyDescent="0.25">
      <c r="A46" s="36"/>
      <c r="C46" s="35"/>
      <c r="D46" s="36"/>
      <c r="E46" s="37"/>
    </row>
    <row r="47" spans="1:9" ht="15" customHeight="1" x14ac:dyDescent="0.25">
      <c r="A47" s="36"/>
      <c r="C47" s="35"/>
      <c r="D47" s="36"/>
      <c r="E47" s="37"/>
    </row>
    <row r="48" spans="1:9" ht="15" customHeight="1" x14ac:dyDescent="0.25">
      <c r="A48" s="36"/>
      <c r="C48" s="35"/>
      <c r="D48" s="36"/>
      <c r="E48" s="37"/>
    </row>
    <row r="49" spans="1:9" ht="15" customHeight="1" x14ac:dyDescent="0.25">
      <c r="A49" s="36"/>
      <c r="C49" s="35"/>
      <c r="D49" s="36"/>
      <c r="E49" s="37"/>
      <c r="F49" s="38"/>
      <c r="G49" s="39"/>
      <c r="H49" s="39"/>
      <c r="I49" s="39"/>
    </row>
    <row r="50" spans="1:9" ht="15" customHeight="1" x14ac:dyDescent="0.25">
      <c r="A50" s="36"/>
      <c r="C50" s="35"/>
      <c r="D50" s="36"/>
      <c r="E50" s="37"/>
    </row>
    <row r="51" spans="1:9" ht="15" customHeight="1" x14ac:dyDescent="0.25">
      <c r="A51" s="36"/>
      <c r="C51" s="35"/>
      <c r="D51" s="36"/>
    </row>
    <row r="52" spans="1:9" ht="15" customHeight="1" x14ac:dyDescent="0.25">
      <c r="A52" s="36"/>
      <c r="C52" s="35"/>
      <c r="D52" s="36"/>
      <c r="E52" s="37"/>
    </row>
    <row r="53" spans="1:9" ht="15" customHeight="1" x14ac:dyDescent="0.25">
      <c r="A53" s="36"/>
      <c r="C53" s="35"/>
      <c r="D53" s="36"/>
      <c r="E53" s="37"/>
    </row>
    <row r="54" spans="1:9" ht="15" customHeight="1" x14ac:dyDescent="0.25">
      <c r="A54" s="36"/>
      <c r="C54" s="35"/>
      <c r="D54" s="36"/>
      <c r="E54" s="37"/>
    </row>
    <row r="55" spans="1:9" ht="15" customHeight="1" x14ac:dyDescent="0.25">
      <c r="A55" s="36"/>
      <c r="C55" s="35"/>
      <c r="D55" s="36"/>
      <c r="E55" s="37"/>
    </row>
    <row r="56" spans="1:9" ht="15" customHeight="1" x14ac:dyDescent="0.25">
      <c r="A56" s="36"/>
      <c r="C56" s="35"/>
      <c r="D56" s="36"/>
      <c r="E56" s="37"/>
    </row>
    <row r="57" spans="1:9" ht="15" customHeight="1" x14ac:dyDescent="0.25">
      <c r="A57" s="36"/>
      <c r="C57" s="35"/>
      <c r="D57" s="36"/>
      <c r="E57" s="37"/>
    </row>
    <row r="58" spans="1:9" ht="15" customHeight="1" x14ac:dyDescent="0.25"/>
    <row r="59" spans="1:9" ht="15" customHeight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</sheetData>
  <autoFilter ref="A2:I57" xr:uid="{00000000-0009-0000-0000-000001000000}"/>
  <pageMargins left="0.25" right="0.25" top="0.75" bottom="0.75" header="0.3" footer="0.3"/>
  <pageSetup paperSize="9" scale="6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topLeftCell="A10" workbookViewId="0">
      <selection activeCell="P40" sqref="P40"/>
    </sheetView>
  </sheetViews>
  <sheetFormatPr baseColWidth="10" defaultColWidth="9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rightToLeft="1" topLeftCell="XEI1" workbookViewId="0">
      <selection activeCell="XEN17" sqref="XEN1:XEN17"/>
    </sheetView>
  </sheetViews>
  <sheetFormatPr baseColWidth="10" defaultColWidth="9.42578125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Y44"/>
  <sheetViews>
    <sheetView workbookViewId="0">
      <selection activeCell="B1" sqref="B1"/>
    </sheetView>
  </sheetViews>
  <sheetFormatPr baseColWidth="10" defaultColWidth="11.42578125" defaultRowHeight="15" x14ac:dyDescent="0.25"/>
  <cols>
    <col min="7" max="7" width="17" bestFit="1" customWidth="1"/>
  </cols>
  <sheetData>
    <row r="2" spans="2:25" ht="15.75" x14ac:dyDescent="0.25">
      <c r="B2" s="5"/>
      <c r="C2" s="6"/>
      <c r="D2" s="7" t="s">
        <v>35</v>
      </c>
      <c r="E2" s="8" t="s">
        <v>36</v>
      </c>
      <c r="F2" s="9"/>
      <c r="G2" s="9"/>
      <c r="H2" s="10"/>
      <c r="I2" s="10"/>
      <c r="J2" s="9"/>
      <c r="K2" s="9"/>
      <c r="L2" s="9"/>
      <c r="M2" s="5"/>
      <c r="N2" s="5"/>
      <c r="O2" s="5"/>
      <c r="P2" s="5"/>
      <c r="Q2" s="7" t="s">
        <v>35</v>
      </c>
      <c r="R2" s="8" t="s">
        <v>37</v>
      </c>
      <c r="S2" s="5"/>
      <c r="T2" s="5"/>
      <c r="U2" s="5"/>
      <c r="V2" s="5"/>
      <c r="W2" s="5"/>
      <c r="X2" s="5"/>
      <c r="Y2" s="5"/>
    </row>
    <row r="3" spans="2:25" ht="15.75" x14ac:dyDescent="0.25">
      <c r="B3" s="5"/>
      <c r="C3" s="6"/>
      <c r="D3" s="11" t="s">
        <v>38</v>
      </c>
      <c r="E3" s="11" t="s">
        <v>39</v>
      </c>
      <c r="F3" s="6"/>
      <c r="G3" s="6"/>
      <c r="H3" s="12"/>
      <c r="I3" s="6"/>
      <c r="J3" s="6"/>
      <c r="K3" s="6"/>
      <c r="L3" s="6"/>
      <c r="M3" s="5"/>
      <c r="N3" s="5"/>
      <c r="O3" s="5"/>
      <c r="P3" s="5"/>
      <c r="Q3" s="11" t="s">
        <v>38</v>
      </c>
      <c r="R3" s="11" t="s">
        <v>39</v>
      </c>
      <c r="S3" s="5"/>
      <c r="T3" s="5"/>
      <c r="U3" s="5"/>
      <c r="V3" s="5"/>
      <c r="W3" s="5"/>
      <c r="X3" s="5"/>
      <c r="Y3" s="5"/>
    </row>
    <row r="4" spans="2:25" ht="15.75" x14ac:dyDescent="0.25">
      <c r="B4" s="5"/>
      <c r="C4" s="6"/>
      <c r="D4" s="7"/>
      <c r="E4" s="7"/>
      <c r="F4" s="6"/>
      <c r="G4" s="6"/>
      <c r="H4" s="12"/>
      <c r="I4" s="6"/>
      <c r="J4" s="6"/>
      <c r="K4" s="6"/>
      <c r="L4" s="6"/>
      <c r="M4" s="5"/>
      <c r="N4" s="5"/>
      <c r="O4" s="5"/>
      <c r="P4" s="5"/>
      <c r="Q4" s="7"/>
      <c r="R4" s="7"/>
      <c r="S4" s="5"/>
      <c r="T4" s="5"/>
      <c r="U4" s="5"/>
      <c r="V4" s="5"/>
      <c r="W4" s="5"/>
      <c r="X4" s="5"/>
      <c r="Y4" s="5"/>
    </row>
    <row r="5" spans="2:25" ht="23.25" x14ac:dyDescent="0.35">
      <c r="B5" s="13" t="s">
        <v>40</v>
      </c>
      <c r="C5" s="14"/>
      <c r="D5" s="14"/>
      <c r="E5" s="15"/>
      <c r="F5" s="16"/>
      <c r="G5" s="17"/>
      <c r="H5" s="18"/>
      <c r="I5" s="19"/>
      <c r="J5" s="19"/>
      <c r="K5" s="19"/>
      <c r="L5" s="19"/>
      <c r="M5" s="20"/>
      <c r="N5" s="20"/>
      <c r="O5" s="20"/>
      <c r="P5" s="13" t="s">
        <v>40</v>
      </c>
      <c r="Q5" s="20"/>
      <c r="R5" s="20"/>
      <c r="S5" s="20"/>
      <c r="T5" s="21"/>
      <c r="U5" s="20"/>
      <c r="V5" s="20"/>
      <c r="W5" s="20"/>
      <c r="X5" s="20"/>
      <c r="Y5" s="20"/>
    </row>
    <row r="6" spans="2:25" ht="15.75" x14ac:dyDescent="0.25">
      <c r="C6" s="22" t="s">
        <v>41</v>
      </c>
      <c r="D6" s="22" t="s">
        <v>42</v>
      </c>
      <c r="E6" s="22" t="s">
        <v>43</v>
      </c>
      <c r="F6" s="11" t="s">
        <v>44</v>
      </c>
      <c r="G6" s="23" t="s">
        <v>45</v>
      </c>
      <c r="H6" s="22" t="s">
        <v>46</v>
      </c>
      <c r="I6" s="22" t="s">
        <v>47</v>
      </c>
      <c r="J6" s="22" t="s">
        <v>48</v>
      </c>
      <c r="K6" s="22" t="s">
        <v>49</v>
      </c>
      <c r="L6" s="22" t="s">
        <v>50</v>
      </c>
      <c r="Q6" s="22" t="s">
        <v>43</v>
      </c>
      <c r="R6" s="22" t="s">
        <v>42</v>
      </c>
      <c r="S6" s="22" t="s">
        <v>44</v>
      </c>
      <c r="T6" s="24" t="s">
        <v>45</v>
      </c>
      <c r="U6" s="22" t="s">
        <v>46</v>
      </c>
      <c r="V6" s="22" t="s">
        <v>47</v>
      </c>
      <c r="W6" s="22" t="s">
        <v>51</v>
      </c>
      <c r="X6" s="22" t="s">
        <v>49</v>
      </c>
      <c r="Y6" s="22" t="s">
        <v>50</v>
      </c>
    </row>
    <row r="7" spans="2:25" ht="15.75" x14ac:dyDescent="0.25">
      <c r="C7" s="25">
        <v>1</v>
      </c>
      <c r="D7" t="s">
        <v>52</v>
      </c>
      <c r="E7" t="s">
        <v>53</v>
      </c>
      <c r="F7" s="33">
        <v>10033</v>
      </c>
      <c r="G7" s="27" t="s">
        <v>74</v>
      </c>
      <c r="H7" t="s">
        <v>8</v>
      </c>
      <c r="J7" s="34">
        <v>8</v>
      </c>
      <c r="K7">
        <v>67.947000000000003</v>
      </c>
      <c r="L7">
        <v>60.610999999999997</v>
      </c>
      <c r="N7" s="1"/>
      <c r="Q7" t="s">
        <v>53</v>
      </c>
      <c r="R7" t="s">
        <v>52</v>
      </c>
      <c r="S7" s="28">
        <v>10035</v>
      </c>
      <c r="T7" s="27" t="s">
        <v>86</v>
      </c>
      <c r="U7" t="s">
        <v>19</v>
      </c>
      <c r="V7" t="s">
        <v>54</v>
      </c>
      <c r="W7">
        <v>15</v>
      </c>
      <c r="X7">
        <v>145.11799999999999</v>
      </c>
      <c r="Y7">
        <v>131.363</v>
      </c>
    </row>
    <row r="8" spans="2:25" ht="15.75" x14ac:dyDescent="0.25">
      <c r="C8" s="25">
        <v>1</v>
      </c>
      <c r="D8" t="s">
        <v>52</v>
      </c>
      <c r="E8" t="s">
        <v>53</v>
      </c>
      <c r="F8" s="33">
        <v>11569</v>
      </c>
      <c r="G8" s="27" t="s">
        <v>75</v>
      </c>
      <c r="H8" t="s">
        <v>9</v>
      </c>
      <c r="J8" s="34">
        <v>4</v>
      </c>
      <c r="K8">
        <v>56.856999999999999</v>
      </c>
      <c r="L8">
        <v>52.969000000000001</v>
      </c>
      <c r="Q8" t="s">
        <v>53</v>
      </c>
      <c r="R8" t="s">
        <v>52</v>
      </c>
      <c r="S8" s="28">
        <v>11590</v>
      </c>
      <c r="T8" s="27" t="s">
        <v>87</v>
      </c>
      <c r="U8" t="s">
        <v>20</v>
      </c>
      <c r="V8" t="s">
        <v>54</v>
      </c>
      <c r="W8">
        <v>8</v>
      </c>
      <c r="X8">
        <v>110.001</v>
      </c>
      <c r="Y8">
        <v>102.29300000000001</v>
      </c>
    </row>
    <row r="9" spans="2:25" ht="15.75" x14ac:dyDescent="0.25">
      <c r="C9" s="25">
        <v>2</v>
      </c>
      <c r="D9" t="s">
        <v>52</v>
      </c>
      <c r="E9" t="s">
        <v>53</v>
      </c>
      <c r="F9" s="33">
        <v>13024</v>
      </c>
      <c r="G9" s="27" t="s">
        <v>76</v>
      </c>
      <c r="H9" t="s">
        <v>10</v>
      </c>
      <c r="J9" s="34">
        <v>4</v>
      </c>
      <c r="K9">
        <v>43.125</v>
      </c>
      <c r="L9">
        <v>39.076999999999998</v>
      </c>
      <c r="Q9" t="s">
        <v>53</v>
      </c>
      <c r="R9" t="s">
        <v>52</v>
      </c>
      <c r="S9" s="28">
        <v>13025</v>
      </c>
      <c r="T9" s="27" t="s">
        <v>88</v>
      </c>
      <c r="U9" t="s">
        <v>21</v>
      </c>
      <c r="V9" t="s">
        <v>54</v>
      </c>
      <c r="W9">
        <v>8</v>
      </c>
      <c r="X9">
        <v>84.634</v>
      </c>
      <c r="Y9">
        <v>76.548000000000002</v>
      </c>
    </row>
    <row r="10" spans="2:25" ht="15.75" x14ac:dyDescent="0.25">
      <c r="C10" s="25">
        <v>3</v>
      </c>
      <c r="D10" t="s">
        <v>52</v>
      </c>
      <c r="E10" t="s">
        <v>53</v>
      </c>
      <c r="F10" s="33">
        <v>13534</v>
      </c>
      <c r="G10" s="27" t="s">
        <v>77</v>
      </c>
      <c r="H10" t="s">
        <v>11</v>
      </c>
      <c r="J10" s="34">
        <v>8</v>
      </c>
      <c r="K10">
        <v>71.376000000000005</v>
      </c>
      <c r="L10">
        <v>63.954000000000001</v>
      </c>
      <c r="Q10" t="s">
        <v>53</v>
      </c>
      <c r="R10" t="s">
        <v>52</v>
      </c>
      <c r="S10" s="28">
        <v>13535</v>
      </c>
      <c r="T10" s="27" t="s">
        <v>89</v>
      </c>
      <c r="U10" t="s">
        <v>22</v>
      </c>
      <c r="V10" t="s">
        <v>54</v>
      </c>
      <c r="W10">
        <v>16</v>
      </c>
      <c r="X10">
        <v>142.22900000000001</v>
      </c>
      <c r="Y10">
        <v>127.39700000000001</v>
      </c>
    </row>
    <row r="11" spans="2:25" ht="15.75" x14ac:dyDescent="0.25">
      <c r="C11" s="25">
        <v>4</v>
      </c>
      <c r="D11" t="s">
        <v>52</v>
      </c>
      <c r="E11" t="s">
        <v>53</v>
      </c>
      <c r="F11" s="33">
        <v>14533</v>
      </c>
      <c r="G11" s="27" t="s">
        <v>78</v>
      </c>
      <c r="H11" t="s">
        <v>12</v>
      </c>
      <c r="J11" s="34">
        <v>4</v>
      </c>
      <c r="K11">
        <v>21.802</v>
      </c>
      <c r="L11">
        <v>18.134</v>
      </c>
      <c r="Q11" t="s">
        <v>53</v>
      </c>
      <c r="R11" t="s">
        <v>52</v>
      </c>
      <c r="S11" s="28">
        <v>14534</v>
      </c>
      <c r="T11" s="27" t="s">
        <v>90</v>
      </c>
      <c r="U11" t="s">
        <v>23</v>
      </c>
      <c r="W11">
        <v>6</v>
      </c>
      <c r="X11">
        <v>42.366999999999997</v>
      </c>
      <c r="Y11">
        <v>36.795000000000002</v>
      </c>
    </row>
    <row r="12" spans="2:25" ht="15.75" x14ac:dyDescent="0.25">
      <c r="C12" s="25">
        <v>5</v>
      </c>
      <c r="D12" t="s">
        <v>52</v>
      </c>
      <c r="E12" t="s">
        <v>53</v>
      </c>
      <c r="F12" s="33">
        <v>15025</v>
      </c>
      <c r="G12" s="27" t="s">
        <v>79</v>
      </c>
      <c r="H12" t="s">
        <v>13</v>
      </c>
      <c r="J12" s="34">
        <v>8</v>
      </c>
      <c r="K12">
        <v>76.123000000000005</v>
      </c>
      <c r="L12">
        <v>68.884</v>
      </c>
      <c r="Q12" t="s">
        <v>53</v>
      </c>
      <c r="R12" t="s">
        <v>52</v>
      </c>
      <c r="S12" s="28">
        <v>15026</v>
      </c>
      <c r="T12" s="27" t="s">
        <v>91</v>
      </c>
      <c r="U12" t="s">
        <v>24</v>
      </c>
      <c r="W12">
        <v>15</v>
      </c>
      <c r="X12">
        <v>145.071</v>
      </c>
      <c r="Y12">
        <v>131.4</v>
      </c>
    </row>
    <row r="13" spans="2:25" ht="15.75" x14ac:dyDescent="0.25">
      <c r="C13" s="25">
        <v>6</v>
      </c>
      <c r="D13" t="s">
        <v>52</v>
      </c>
      <c r="E13" t="s">
        <v>53</v>
      </c>
      <c r="F13" s="33">
        <v>21062</v>
      </c>
      <c r="G13" s="27" t="s">
        <v>80</v>
      </c>
      <c r="H13" t="s">
        <v>14</v>
      </c>
      <c r="J13" s="34">
        <v>4</v>
      </c>
      <c r="K13">
        <v>40.469000000000001</v>
      </c>
      <c r="L13">
        <v>36.801000000000002</v>
      </c>
      <c r="Q13" t="s">
        <v>53</v>
      </c>
      <c r="R13" t="s">
        <v>52</v>
      </c>
      <c r="S13" s="28">
        <v>21063</v>
      </c>
      <c r="T13" s="27" t="s">
        <v>92</v>
      </c>
      <c r="U13" t="s">
        <v>25</v>
      </c>
      <c r="V13" t="s">
        <v>54</v>
      </c>
      <c r="W13">
        <v>9</v>
      </c>
      <c r="X13">
        <v>73.656000000000006</v>
      </c>
      <c r="Y13">
        <v>65.462999999999994</v>
      </c>
    </row>
    <row r="14" spans="2:25" ht="15.75" x14ac:dyDescent="0.25">
      <c r="C14" s="25">
        <v>7</v>
      </c>
      <c r="D14" t="s">
        <v>52</v>
      </c>
      <c r="E14" t="s">
        <v>53</v>
      </c>
      <c r="F14" s="33">
        <v>23533</v>
      </c>
      <c r="G14" s="27" t="s">
        <v>81</v>
      </c>
      <c r="H14" t="s">
        <v>15</v>
      </c>
      <c r="J14" s="34">
        <v>6</v>
      </c>
      <c r="K14">
        <v>59.292999999999999</v>
      </c>
      <c r="L14">
        <v>53.871000000000002</v>
      </c>
      <c r="Q14" t="s">
        <v>53</v>
      </c>
      <c r="R14" t="s">
        <v>52</v>
      </c>
      <c r="S14" s="28">
        <v>23534</v>
      </c>
      <c r="T14" s="27" t="s">
        <v>93</v>
      </c>
      <c r="U14" t="s">
        <v>26</v>
      </c>
      <c r="V14" t="s">
        <v>54</v>
      </c>
      <c r="W14">
        <v>11</v>
      </c>
      <c r="X14">
        <v>113.756</v>
      </c>
      <c r="Y14">
        <v>103.809</v>
      </c>
    </row>
    <row r="15" spans="2:25" ht="15.75" x14ac:dyDescent="0.25">
      <c r="C15" s="25">
        <v>8</v>
      </c>
      <c r="D15" t="s">
        <v>52</v>
      </c>
      <c r="E15" t="s">
        <v>53</v>
      </c>
      <c r="F15" s="33">
        <v>24523</v>
      </c>
      <c r="G15" s="27" t="s">
        <v>82</v>
      </c>
      <c r="H15" t="s">
        <v>16</v>
      </c>
      <c r="J15" s="34">
        <v>2</v>
      </c>
      <c r="K15">
        <v>16.224</v>
      </c>
      <c r="L15">
        <v>14.37</v>
      </c>
      <c r="Q15" t="s">
        <v>53</v>
      </c>
      <c r="R15" t="s">
        <v>52</v>
      </c>
      <c r="S15" s="28">
        <v>24524</v>
      </c>
      <c r="T15" s="27" t="s">
        <v>94</v>
      </c>
      <c r="U15" t="s">
        <v>27</v>
      </c>
      <c r="V15" t="s">
        <v>54</v>
      </c>
      <c r="W15">
        <v>4</v>
      </c>
      <c r="X15">
        <v>33.902999999999999</v>
      </c>
      <c r="Y15">
        <v>30.195</v>
      </c>
    </row>
    <row r="16" spans="2:25" ht="15.75" x14ac:dyDescent="0.25">
      <c r="C16" s="25">
        <v>8</v>
      </c>
      <c r="D16" t="s">
        <v>52</v>
      </c>
      <c r="E16" t="s">
        <v>53</v>
      </c>
      <c r="F16" s="33">
        <v>25025</v>
      </c>
      <c r="G16" s="27" t="s">
        <v>83</v>
      </c>
      <c r="H16" t="s">
        <v>17</v>
      </c>
      <c r="J16" s="34">
        <v>5</v>
      </c>
      <c r="K16">
        <v>40.593000000000004</v>
      </c>
      <c r="L16">
        <v>35.997999999999998</v>
      </c>
      <c r="Q16" t="s">
        <v>53</v>
      </c>
      <c r="R16" t="s">
        <v>52</v>
      </c>
      <c r="S16" s="28">
        <v>25026</v>
      </c>
      <c r="T16" s="27" t="s">
        <v>95</v>
      </c>
      <c r="U16" t="s">
        <v>28</v>
      </c>
      <c r="W16">
        <v>10</v>
      </c>
      <c r="X16">
        <v>81.539000000000001</v>
      </c>
      <c r="Y16">
        <v>72.369</v>
      </c>
    </row>
    <row r="17" spans="3:25" ht="15.75" x14ac:dyDescent="0.25">
      <c r="C17" s="25"/>
      <c r="D17" s="22" t="s">
        <v>55</v>
      </c>
      <c r="E17" s="22"/>
      <c r="F17" s="11"/>
      <c r="G17" s="23"/>
      <c r="H17" s="22"/>
      <c r="I17" s="22"/>
      <c r="J17" s="22">
        <v>53</v>
      </c>
      <c r="K17" s="22">
        <v>493.80900000000003</v>
      </c>
      <c r="L17" s="22">
        <v>444.66899999999998</v>
      </c>
      <c r="Q17" t="s">
        <v>53</v>
      </c>
      <c r="R17" t="s">
        <v>52</v>
      </c>
      <c r="S17" s="28">
        <v>37531</v>
      </c>
      <c r="T17" s="27" t="s">
        <v>96</v>
      </c>
      <c r="U17" t="s">
        <v>29</v>
      </c>
      <c r="V17" t="s">
        <v>54</v>
      </c>
      <c r="W17">
        <v>1</v>
      </c>
      <c r="X17">
        <v>15.314</v>
      </c>
      <c r="Y17">
        <v>13.667999999999999</v>
      </c>
    </row>
    <row r="18" spans="3:25" ht="15.75" x14ac:dyDescent="0.25">
      <c r="C18" s="25"/>
      <c r="D18" t="s">
        <v>56</v>
      </c>
      <c r="E18" t="s">
        <v>53</v>
      </c>
      <c r="F18" s="26">
        <v>10033</v>
      </c>
      <c r="G18" s="27" t="s">
        <v>74</v>
      </c>
      <c r="H18" t="s">
        <v>8</v>
      </c>
      <c r="J18">
        <v>9</v>
      </c>
      <c r="K18">
        <v>80.712000000000003</v>
      </c>
      <c r="L18">
        <v>72.459000000000003</v>
      </c>
      <c r="Q18" s="22" t="s">
        <v>53</v>
      </c>
      <c r="R18" s="22" t="s">
        <v>55</v>
      </c>
      <c r="S18" s="22"/>
      <c r="T18" s="24"/>
      <c r="U18" s="22"/>
      <c r="V18" s="22"/>
      <c r="W18" s="22">
        <v>103</v>
      </c>
      <c r="X18" s="22">
        <v>987.58799999999997</v>
      </c>
      <c r="Y18" s="22">
        <v>891.30000000000007</v>
      </c>
    </row>
    <row r="19" spans="3:25" ht="15.75" x14ac:dyDescent="0.25">
      <c r="C19" s="25"/>
      <c r="D19" t="s">
        <v>56</v>
      </c>
      <c r="E19" t="s">
        <v>53</v>
      </c>
      <c r="F19" s="26">
        <v>11569</v>
      </c>
      <c r="G19" s="27" t="s">
        <v>75</v>
      </c>
      <c r="H19" t="s">
        <v>9</v>
      </c>
      <c r="J19">
        <v>5</v>
      </c>
      <c r="K19">
        <v>65.402000000000001</v>
      </c>
      <c r="L19">
        <v>60.591999999999999</v>
      </c>
      <c r="Q19" t="s">
        <v>53</v>
      </c>
      <c r="R19" t="s">
        <v>56</v>
      </c>
      <c r="S19" s="28">
        <v>10035</v>
      </c>
      <c r="T19" s="27" t="s">
        <v>86</v>
      </c>
      <c r="U19" t="s">
        <v>19</v>
      </c>
      <c r="V19" t="s">
        <v>57</v>
      </c>
      <c r="W19">
        <v>44</v>
      </c>
      <c r="X19">
        <v>426.55899999999997</v>
      </c>
      <c r="Y19">
        <v>386.23500000000001</v>
      </c>
    </row>
    <row r="20" spans="3:25" ht="15.75" x14ac:dyDescent="0.25">
      <c r="C20" s="25"/>
      <c r="D20" t="s">
        <v>56</v>
      </c>
      <c r="E20" t="s">
        <v>53</v>
      </c>
      <c r="F20" s="26">
        <v>13024</v>
      </c>
      <c r="G20" s="27" t="s">
        <v>76</v>
      </c>
      <c r="H20" t="s">
        <v>10</v>
      </c>
      <c r="J20">
        <v>5</v>
      </c>
      <c r="K20">
        <v>46.136000000000003</v>
      </c>
      <c r="L20">
        <v>41.121000000000002</v>
      </c>
      <c r="Q20" t="s">
        <v>53</v>
      </c>
      <c r="R20" t="s">
        <v>56</v>
      </c>
      <c r="S20" s="28">
        <v>11590</v>
      </c>
      <c r="T20" s="27" t="s">
        <v>87</v>
      </c>
      <c r="U20" t="s">
        <v>20</v>
      </c>
      <c r="V20" t="s">
        <v>57</v>
      </c>
      <c r="W20">
        <v>22</v>
      </c>
      <c r="X20">
        <v>319.36399999999998</v>
      </c>
      <c r="Y20">
        <v>298.142</v>
      </c>
    </row>
    <row r="21" spans="3:25" ht="15.75" x14ac:dyDescent="0.25">
      <c r="C21" s="25"/>
      <c r="D21" t="s">
        <v>56</v>
      </c>
      <c r="E21" t="s">
        <v>53</v>
      </c>
      <c r="F21" s="26">
        <v>13534</v>
      </c>
      <c r="G21" s="27" t="s">
        <v>77</v>
      </c>
      <c r="H21" t="s">
        <v>11</v>
      </c>
      <c r="J21">
        <v>9</v>
      </c>
      <c r="K21">
        <v>80.849999999999994</v>
      </c>
      <c r="L21">
        <v>72.504000000000005</v>
      </c>
      <c r="Q21" t="s">
        <v>53</v>
      </c>
      <c r="R21" t="s">
        <v>56</v>
      </c>
      <c r="S21" s="28">
        <v>13025</v>
      </c>
      <c r="T21" s="27" t="s">
        <v>88</v>
      </c>
      <c r="U21" t="s">
        <v>21</v>
      </c>
      <c r="V21" t="s">
        <v>57</v>
      </c>
      <c r="W21">
        <v>22</v>
      </c>
      <c r="X21">
        <v>229.93100000000001</v>
      </c>
      <c r="Y21">
        <v>207.55699999999999</v>
      </c>
    </row>
    <row r="22" spans="3:25" ht="15.75" x14ac:dyDescent="0.25">
      <c r="C22" s="25"/>
      <c r="D22" t="s">
        <v>56</v>
      </c>
      <c r="E22" t="s">
        <v>53</v>
      </c>
      <c r="F22" s="26">
        <v>14533</v>
      </c>
      <c r="G22" s="27" t="s">
        <v>78</v>
      </c>
      <c r="H22" t="s">
        <v>12</v>
      </c>
      <c r="J22">
        <v>3</v>
      </c>
      <c r="K22">
        <v>23.882000000000001</v>
      </c>
      <c r="L22">
        <v>21.071000000000002</v>
      </c>
      <c r="Q22" t="s">
        <v>53</v>
      </c>
      <c r="R22" t="s">
        <v>56</v>
      </c>
      <c r="S22" s="28">
        <v>13535</v>
      </c>
      <c r="T22" s="27" t="s">
        <v>89</v>
      </c>
      <c r="U22" t="s">
        <v>22</v>
      </c>
      <c r="V22" t="s">
        <v>57</v>
      </c>
      <c r="W22">
        <v>43</v>
      </c>
      <c r="X22">
        <v>409.56799999999998</v>
      </c>
      <c r="Y22">
        <v>369.69799999999998</v>
      </c>
    </row>
    <row r="23" spans="3:25" ht="15.75" x14ac:dyDescent="0.25">
      <c r="C23" s="25"/>
      <c r="D23" t="s">
        <v>56</v>
      </c>
      <c r="E23" t="s">
        <v>53</v>
      </c>
      <c r="F23" s="26">
        <v>15025</v>
      </c>
      <c r="G23" s="27" t="s">
        <v>79</v>
      </c>
      <c r="H23" t="s">
        <v>13</v>
      </c>
      <c r="J23">
        <v>8</v>
      </c>
      <c r="K23">
        <v>78.001000000000005</v>
      </c>
      <c r="L23">
        <v>70.724999999999994</v>
      </c>
      <c r="Q23" t="s">
        <v>53</v>
      </c>
      <c r="R23" t="s">
        <v>56</v>
      </c>
      <c r="S23" s="28">
        <v>14534</v>
      </c>
      <c r="T23" s="27" t="s">
        <v>90</v>
      </c>
      <c r="U23" t="s">
        <v>23</v>
      </c>
      <c r="W23">
        <v>15</v>
      </c>
      <c r="X23">
        <v>117.90700000000001</v>
      </c>
      <c r="Y23">
        <v>103.879</v>
      </c>
    </row>
    <row r="24" spans="3:25" ht="15.75" x14ac:dyDescent="0.25">
      <c r="C24" s="25"/>
      <c r="D24" t="s">
        <v>56</v>
      </c>
      <c r="E24" t="s">
        <v>53</v>
      </c>
      <c r="F24" s="26">
        <v>21062</v>
      </c>
      <c r="G24" s="27" t="s">
        <v>80</v>
      </c>
      <c r="H24" t="s">
        <v>14</v>
      </c>
      <c r="J24">
        <v>5</v>
      </c>
      <c r="K24">
        <v>44.8</v>
      </c>
      <c r="L24">
        <v>40.234999999999999</v>
      </c>
      <c r="Q24" t="s">
        <v>53</v>
      </c>
      <c r="R24" t="s">
        <v>56</v>
      </c>
      <c r="S24" s="28">
        <v>15026</v>
      </c>
      <c r="T24" s="27" t="s">
        <v>91</v>
      </c>
      <c r="U24" t="s">
        <v>24</v>
      </c>
      <c r="W24">
        <v>42</v>
      </c>
      <c r="X24">
        <v>425.78899999999999</v>
      </c>
      <c r="Y24">
        <v>387.60599999999999</v>
      </c>
    </row>
    <row r="25" spans="3:25" ht="15.75" x14ac:dyDescent="0.25">
      <c r="C25" s="25"/>
      <c r="D25" t="s">
        <v>56</v>
      </c>
      <c r="E25" t="s">
        <v>53</v>
      </c>
      <c r="F25" s="26">
        <v>23533</v>
      </c>
      <c r="G25" s="27" t="s">
        <v>81</v>
      </c>
      <c r="H25" t="s">
        <v>15</v>
      </c>
      <c r="J25">
        <v>7</v>
      </c>
      <c r="K25">
        <v>69.671000000000006</v>
      </c>
      <c r="L25">
        <v>63.351999999999997</v>
      </c>
      <c r="Q25" t="s">
        <v>53</v>
      </c>
      <c r="R25" t="s">
        <v>56</v>
      </c>
      <c r="S25" s="28">
        <v>21063</v>
      </c>
      <c r="T25" s="27" t="s">
        <v>92</v>
      </c>
      <c r="U25" t="s">
        <v>25</v>
      </c>
      <c r="V25" t="s">
        <v>57</v>
      </c>
      <c r="W25">
        <v>21</v>
      </c>
      <c r="X25">
        <v>211.32300000000001</v>
      </c>
      <c r="Y25">
        <v>192.02</v>
      </c>
    </row>
    <row r="26" spans="3:25" ht="15.75" x14ac:dyDescent="0.25">
      <c r="C26" s="25"/>
      <c r="D26" t="s">
        <v>56</v>
      </c>
      <c r="E26" t="s">
        <v>53</v>
      </c>
      <c r="F26" s="26">
        <v>24523</v>
      </c>
      <c r="G26" s="27" t="s">
        <v>82</v>
      </c>
      <c r="H26" t="s">
        <v>16</v>
      </c>
      <c r="J26">
        <v>2</v>
      </c>
      <c r="K26">
        <v>16.071000000000002</v>
      </c>
      <c r="L26">
        <v>14.196999999999999</v>
      </c>
      <c r="Q26" t="s">
        <v>53</v>
      </c>
      <c r="R26" t="s">
        <v>56</v>
      </c>
      <c r="S26" s="28">
        <v>23534</v>
      </c>
      <c r="T26" s="27" t="s">
        <v>93</v>
      </c>
      <c r="U26" t="s">
        <v>26</v>
      </c>
      <c r="V26" t="s">
        <v>57</v>
      </c>
      <c r="W26">
        <v>30</v>
      </c>
      <c r="X26">
        <v>346.214</v>
      </c>
      <c r="Y26">
        <v>319.00100000000003</v>
      </c>
    </row>
    <row r="27" spans="3:25" ht="15.75" x14ac:dyDescent="0.25">
      <c r="C27" s="25"/>
      <c r="D27" t="s">
        <v>56</v>
      </c>
      <c r="E27" t="s">
        <v>53</v>
      </c>
      <c r="F27" s="26">
        <v>25025</v>
      </c>
      <c r="G27" s="27" t="s">
        <v>83</v>
      </c>
      <c r="H27" t="s">
        <v>17</v>
      </c>
      <c r="J27">
        <v>6</v>
      </c>
      <c r="K27">
        <v>48.845999999999997</v>
      </c>
      <c r="L27">
        <v>43.344000000000001</v>
      </c>
      <c r="Q27" t="s">
        <v>53</v>
      </c>
      <c r="R27" t="s">
        <v>56</v>
      </c>
      <c r="S27" s="28">
        <v>24524</v>
      </c>
      <c r="T27" s="27" t="s">
        <v>94</v>
      </c>
      <c r="U27" t="s">
        <v>27</v>
      </c>
      <c r="V27" t="s">
        <v>57</v>
      </c>
      <c r="W27">
        <v>11</v>
      </c>
      <c r="X27">
        <v>92.316999999999993</v>
      </c>
      <c r="Y27">
        <v>82.12</v>
      </c>
    </row>
    <row r="28" spans="3:25" ht="15.75" x14ac:dyDescent="0.25">
      <c r="C28" s="29"/>
      <c r="D28" s="22" t="s">
        <v>58</v>
      </c>
      <c r="E28" s="22"/>
      <c r="F28" s="11"/>
      <c r="G28" s="23"/>
      <c r="H28" s="22"/>
      <c r="I28" s="22"/>
      <c r="J28" s="22">
        <v>59</v>
      </c>
      <c r="K28" s="22">
        <v>554.37100000000009</v>
      </c>
      <c r="L28" s="22">
        <v>499.59999999999997</v>
      </c>
      <c r="Q28" t="s">
        <v>53</v>
      </c>
      <c r="R28" t="s">
        <v>56</v>
      </c>
      <c r="S28" s="28">
        <v>25026</v>
      </c>
      <c r="T28" s="27" t="s">
        <v>95</v>
      </c>
      <c r="U28" t="s">
        <v>28</v>
      </c>
      <c r="W28">
        <v>30</v>
      </c>
      <c r="X28">
        <v>247.227</v>
      </c>
      <c r="Y28">
        <v>219.77099999999999</v>
      </c>
    </row>
    <row r="29" spans="3:25" ht="15.75" x14ac:dyDescent="0.25">
      <c r="C29" s="25"/>
      <c r="D29" t="s">
        <v>59</v>
      </c>
      <c r="E29" t="s">
        <v>53</v>
      </c>
      <c r="F29" s="26">
        <v>10033</v>
      </c>
      <c r="G29" s="27" t="s">
        <v>74</v>
      </c>
      <c r="H29" t="s">
        <v>8</v>
      </c>
      <c r="J29">
        <v>168</v>
      </c>
      <c r="K29">
        <v>1562.098</v>
      </c>
      <c r="L29">
        <v>1408.0119999999999</v>
      </c>
      <c r="Q29" t="s">
        <v>53</v>
      </c>
      <c r="R29" t="s">
        <v>56</v>
      </c>
      <c r="S29" s="28">
        <v>37531</v>
      </c>
      <c r="T29" s="27" t="s">
        <v>96</v>
      </c>
      <c r="U29" t="s">
        <v>29</v>
      </c>
      <c r="V29" t="s">
        <v>57</v>
      </c>
      <c r="W29">
        <v>1</v>
      </c>
      <c r="X29">
        <v>13.968999999999999</v>
      </c>
      <c r="Y29">
        <v>12.363</v>
      </c>
    </row>
    <row r="30" spans="3:25" ht="15.75" x14ac:dyDescent="0.25">
      <c r="C30" s="25"/>
      <c r="D30" t="s">
        <v>59</v>
      </c>
      <c r="E30" t="s">
        <v>53</v>
      </c>
      <c r="F30" s="26">
        <v>11569</v>
      </c>
      <c r="G30" s="27" t="s">
        <v>75</v>
      </c>
      <c r="H30" t="s">
        <v>9</v>
      </c>
      <c r="J30">
        <v>114</v>
      </c>
      <c r="K30">
        <v>1337.4190000000001</v>
      </c>
      <c r="L30">
        <v>1228.413</v>
      </c>
      <c r="Q30" t="s">
        <v>53</v>
      </c>
      <c r="R30" t="s">
        <v>56</v>
      </c>
      <c r="S30" s="28">
        <v>39532</v>
      </c>
      <c r="T30" s="27" t="s">
        <v>97</v>
      </c>
      <c r="U30" t="s">
        <v>60</v>
      </c>
      <c r="V30" t="s">
        <v>57</v>
      </c>
      <c r="W30">
        <v>4</v>
      </c>
      <c r="X30">
        <v>62.579000000000001</v>
      </c>
      <c r="Y30">
        <v>56.375</v>
      </c>
    </row>
    <row r="31" spans="3:25" ht="15.75" x14ac:dyDescent="0.25">
      <c r="C31" s="25"/>
      <c r="D31" t="s">
        <v>59</v>
      </c>
      <c r="E31" t="s">
        <v>53</v>
      </c>
      <c r="F31" s="26">
        <v>13024</v>
      </c>
      <c r="G31" s="27" t="s">
        <v>76</v>
      </c>
      <c r="H31" t="s">
        <v>10</v>
      </c>
      <c r="J31">
        <v>110</v>
      </c>
      <c r="K31">
        <v>981.92600000000004</v>
      </c>
      <c r="L31">
        <v>873.32500000000005</v>
      </c>
      <c r="Q31" s="22" t="s">
        <v>53</v>
      </c>
      <c r="R31" s="22" t="s">
        <v>58</v>
      </c>
      <c r="S31" s="22"/>
      <c r="T31" s="24"/>
      <c r="U31" s="22"/>
      <c r="V31" s="22"/>
      <c r="W31" s="22">
        <v>285</v>
      </c>
      <c r="X31" s="22">
        <v>2902.7469999999998</v>
      </c>
      <c r="Y31" s="22">
        <v>2634.7669999999998</v>
      </c>
    </row>
    <row r="32" spans="3:25" ht="15.75" x14ac:dyDescent="0.25">
      <c r="C32" s="25"/>
      <c r="D32" t="s">
        <v>59</v>
      </c>
      <c r="E32" t="s">
        <v>53</v>
      </c>
      <c r="F32" s="26">
        <v>13534</v>
      </c>
      <c r="G32" s="27" t="s">
        <v>77</v>
      </c>
      <c r="H32" t="s">
        <v>11</v>
      </c>
      <c r="J32">
        <v>178</v>
      </c>
      <c r="K32">
        <v>1661.1619999999998</v>
      </c>
      <c r="L32">
        <v>1496.143</v>
      </c>
    </row>
    <row r="33" spans="2:25" ht="18.75" x14ac:dyDescent="0.25">
      <c r="C33" s="25"/>
      <c r="D33" t="s">
        <v>59</v>
      </c>
      <c r="E33" t="s">
        <v>53</v>
      </c>
      <c r="F33" s="26">
        <v>14533</v>
      </c>
      <c r="G33" s="27" t="s">
        <v>78</v>
      </c>
      <c r="H33" t="s">
        <v>12</v>
      </c>
      <c r="J33">
        <v>43</v>
      </c>
      <c r="K33">
        <v>441.76700000000005</v>
      </c>
      <c r="L33">
        <v>400.69799999999998</v>
      </c>
      <c r="Q33" s="30" t="s">
        <v>61</v>
      </c>
      <c r="R33" s="30"/>
      <c r="S33" s="30"/>
      <c r="T33" s="30"/>
      <c r="U33" s="30"/>
      <c r="V33" s="30"/>
      <c r="W33" s="30">
        <f>+W31+W18</f>
        <v>388</v>
      </c>
      <c r="X33" s="30">
        <f t="shared" ref="X33:Y33" si="0">+X31+X18</f>
        <v>3890.335</v>
      </c>
      <c r="Y33" s="30">
        <f t="shared" si="0"/>
        <v>3526.067</v>
      </c>
    </row>
    <row r="34" spans="2:25" ht="15.75" x14ac:dyDescent="0.25">
      <c r="C34" s="25"/>
      <c r="D34" t="s">
        <v>59</v>
      </c>
      <c r="E34" t="s">
        <v>53</v>
      </c>
      <c r="F34" s="26">
        <v>15025</v>
      </c>
      <c r="G34" s="27" t="s">
        <v>79</v>
      </c>
      <c r="H34" t="s">
        <v>13</v>
      </c>
      <c r="J34">
        <v>184</v>
      </c>
      <c r="K34">
        <v>2001.1260000000002</v>
      </c>
      <c r="L34">
        <v>1834.348</v>
      </c>
    </row>
    <row r="35" spans="2:25" ht="15.75" x14ac:dyDescent="0.25">
      <c r="C35" s="25"/>
      <c r="D35" t="s">
        <v>59</v>
      </c>
      <c r="E35" t="s">
        <v>53</v>
      </c>
      <c r="F35" s="26">
        <v>21062</v>
      </c>
      <c r="G35" s="27" t="s">
        <v>80</v>
      </c>
      <c r="H35" t="s">
        <v>14</v>
      </c>
      <c r="J35">
        <v>88</v>
      </c>
      <c r="K35">
        <v>919.47699999999998</v>
      </c>
      <c r="L35">
        <v>838.68399999999997</v>
      </c>
    </row>
    <row r="36" spans="2:25" ht="15.75" x14ac:dyDescent="0.25">
      <c r="C36" s="25"/>
      <c r="D36" t="s">
        <v>59</v>
      </c>
      <c r="E36" t="s">
        <v>53</v>
      </c>
      <c r="F36" s="26">
        <v>23533</v>
      </c>
      <c r="G36" s="27" t="s">
        <v>81</v>
      </c>
      <c r="H36" t="s">
        <v>15</v>
      </c>
      <c r="J36">
        <v>119</v>
      </c>
      <c r="K36">
        <v>1392.943</v>
      </c>
      <c r="L36">
        <v>1284.9050000000002</v>
      </c>
    </row>
    <row r="37" spans="2:25" ht="15.75" x14ac:dyDescent="0.25">
      <c r="C37" s="25"/>
      <c r="D37" t="s">
        <v>59</v>
      </c>
      <c r="E37" t="s">
        <v>53</v>
      </c>
      <c r="F37" s="26">
        <v>24523</v>
      </c>
      <c r="G37" s="27" t="s">
        <v>82</v>
      </c>
      <c r="H37" t="s">
        <v>16</v>
      </c>
      <c r="J37">
        <v>42</v>
      </c>
      <c r="K37">
        <v>424.94099999999992</v>
      </c>
      <c r="L37">
        <v>385.89800000000002</v>
      </c>
    </row>
    <row r="38" spans="2:25" ht="15.75" x14ac:dyDescent="0.25">
      <c r="C38" s="25"/>
      <c r="D38" t="s">
        <v>59</v>
      </c>
      <c r="E38" t="s">
        <v>53</v>
      </c>
      <c r="F38" s="26">
        <v>25025</v>
      </c>
      <c r="G38" s="27" t="s">
        <v>83</v>
      </c>
      <c r="H38" t="s">
        <v>17</v>
      </c>
      <c r="J38">
        <v>96</v>
      </c>
      <c r="K38">
        <v>894.0379999999999</v>
      </c>
      <c r="L38">
        <v>805.14399999999989</v>
      </c>
    </row>
    <row r="39" spans="2:25" ht="15.75" x14ac:dyDescent="0.25">
      <c r="C39" s="25"/>
      <c r="D39" t="s">
        <v>59</v>
      </c>
      <c r="E39" t="s">
        <v>53</v>
      </c>
      <c r="F39" s="26">
        <v>37521</v>
      </c>
      <c r="G39" s="27" t="s">
        <v>84</v>
      </c>
      <c r="H39" t="s">
        <v>62</v>
      </c>
      <c r="I39" t="s">
        <v>52</v>
      </c>
      <c r="J39">
        <v>5</v>
      </c>
      <c r="K39">
        <v>77.540999999999997</v>
      </c>
      <c r="L39">
        <v>69.590999999999994</v>
      </c>
    </row>
    <row r="40" spans="2:25" ht="15.75" x14ac:dyDescent="0.25">
      <c r="C40" s="29"/>
      <c r="D40" t="s">
        <v>59</v>
      </c>
      <c r="E40" t="s">
        <v>53</v>
      </c>
      <c r="F40" s="26">
        <v>39512</v>
      </c>
      <c r="G40" s="27" t="s">
        <v>85</v>
      </c>
      <c r="H40" t="s">
        <v>63</v>
      </c>
      <c r="I40" t="s">
        <v>52</v>
      </c>
      <c r="J40">
        <v>5</v>
      </c>
      <c r="K40">
        <v>93.531999999999996</v>
      </c>
      <c r="L40">
        <v>85.777000000000001</v>
      </c>
    </row>
    <row r="41" spans="2:25" ht="15.75" x14ac:dyDescent="0.25">
      <c r="C41" s="29"/>
      <c r="D41" s="22" t="s">
        <v>64</v>
      </c>
      <c r="E41" s="22"/>
      <c r="F41" s="11"/>
      <c r="G41" s="23"/>
      <c r="H41" s="22"/>
      <c r="I41" s="22"/>
      <c r="J41" s="22">
        <v>1152</v>
      </c>
      <c r="K41" s="22">
        <v>11787.97</v>
      </c>
      <c r="L41" s="22">
        <v>10710.938</v>
      </c>
    </row>
    <row r="42" spans="2:25" ht="15.75" x14ac:dyDescent="0.25">
      <c r="C42" s="29"/>
      <c r="D42" s="25"/>
      <c r="E42" s="25"/>
      <c r="F42" s="6"/>
      <c r="G42" s="6"/>
      <c r="H42" s="25"/>
      <c r="I42" s="25"/>
      <c r="J42" s="25"/>
      <c r="K42" s="25"/>
      <c r="L42" s="25"/>
    </row>
    <row r="43" spans="2:25" ht="18.75" x14ac:dyDescent="0.3">
      <c r="B43" s="31"/>
      <c r="C43" s="32"/>
      <c r="D43" s="30" t="s">
        <v>61</v>
      </c>
      <c r="E43" s="30"/>
      <c r="F43" s="30"/>
      <c r="G43" s="30"/>
      <c r="H43" s="30"/>
      <c r="I43" s="30"/>
      <c r="J43" s="30">
        <f>+J41+J28+J17</f>
        <v>1264</v>
      </c>
      <c r="K43" s="30">
        <f>+K41+K28+K17</f>
        <v>12836.15</v>
      </c>
      <c r="L43" s="30">
        <f>+L41+L28+L17</f>
        <v>11655.207</v>
      </c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2:25" ht="15.75" x14ac:dyDescent="0.25">
      <c r="C44" s="29"/>
      <c r="D44" s="25"/>
      <c r="E44" s="25"/>
      <c r="F44" s="6"/>
      <c r="G44" s="6"/>
      <c r="H44" s="25"/>
      <c r="I44" s="25"/>
      <c r="J44" s="25"/>
      <c r="K44" s="25"/>
      <c r="L44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גיליון1</vt:lpstr>
      <vt:lpstr>גיליון1 </vt:lpstr>
      <vt:lpstr>גיליון2</vt:lpstr>
      <vt:lpstr>גיליון3</vt:lpstr>
      <vt:lpstr>Azul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rinas</dc:creator>
  <cp:lastModifiedBy>Maria Paz Mallea</cp:lastModifiedBy>
  <cp:lastPrinted>2026-05-03T15:40:04Z</cp:lastPrinted>
  <dcterms:created xsi:type="dcterms:W3CDTF">2017-10-17T11:50:00Z</dcterms:created>
  <dcterms:modified xsi:type="dcterms:W3CDTF">2026-09-23T16:57:58Z</dcterms:modified>
</cp:coreProperties>
</file>